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45387cca4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ive_Matches" sheetId="1" r:id="Rbdc1e29eb20b407b"/>
    <x:sheet xmlns:r="http://schemas.openxmlformats.org/officeDocument/2006/relationships" name="Dashboard" sheetId="2" r:id="Ref4cb231b7574ba9"/>
    <x:sheet xmlns:r="http://schemas.openxmlformats.org/officeDocument/2006/relationships" name="Hero_Summary" sheetId="3" r:id="R26383e0c349d44d3"/>
    <x:sheet xmlns:r="http://schemas.openxmlformats.org/officeDocument/2006/relationships" name="Map_Summary" sheetId="4" r:id="Rf90b3b2c407b4907"/>
    <x:sheet xmlns:r="http://schemas.openxmlformats.org/officeDocument/2006/relationships" name="GameType_Summary" sheetId="5" r:id="R374eb530cf4f4dcf"/>
    <x:sheet xmlns:r="http://schemas.openxmlformats.org/officeDocument/2006/relationships" name="Daily_Summary" sheetId="6" r:id="Rfe182b9cef794756"/>
    <x:sheet xmlns:r="http://schemas.openxmlformats.org/officeDocument/2006/relationships" name="Data_Dictionary" sheetId="7" r:id="Refb3ade33128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"/>
    <x:numFmt numFmtId="203" formatCode="0.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6"/>
      <x:color rgb="FFFFFF"/>
      <x:name val="Carlito"/>
    </x:font>
    <x:font>
      <x:i/>
      <x:sz val="11"/>
      <x:color rgb="4B556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6B7280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ont>
        <x:b/>
        <x:color rgb="15803D"/>
      </x:font>
    </x:dxf>
    <x:dxf>
      <x:font>
        <x:b/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0532372fc43d8" /><Relationship Type="http://schemas.openxmlformats.org/officeDocument/2006/relationships/theme" Target="/xl/theme/theme1.xml" Id="R28170350dcf64e29" /><Relationship Type="http://schemas.openxmlformats.org/officeDocument/2006/relationships/sharedStrings" Target="/xl/sharedStrings.xml" Id="R8d4e59e8faa646bf" /><Relationship Type="http://schemas.openxmlformats.org/officeDocument/2006/relationships/worksheet" Target="/xl/worksheets/sheet1.xml" Id="Rbdc1e29eb20b407b" /><Relationship Type="http://schemas.openxmlformats.org/officeDocument/2006/relationships/worksheet" Target="/xl/worksheets/sheet2.xml" Id="Ref4cb231b7574ba9" /><Relationship Type="http://schemas.openxmlformats.org/officeDocument/2006/relationships/worksheet" Target="/xl/worksheets/sheet3.xml" Id="R26383e0c349d44d3" /><Relationship Type="http://schemas.openxmlformats.org/officeDocument/2006/relationships/worksheet" Target="/xl/worksheets/sheet4.xml" Id="Rf90b3b2c407b4907" /><Relationship Type="http://schemas.openxmlformats.org/officeDocument/2006/relationships/worksheet" Target="/xl/worksheets/sheet5.xml" Id="R374eb530cf4f4dcf" /><Relationship Type="http://schemas.openxmlformats.org/officeDocument/2006/relationships/worksheet" Target="/xl/worksheets/sheet6.xml" Id="Rfe182b9cef794756" /><Relationship Type="http://schemas.openxmlformats.org/officeDocument/2006/relationships/worksheet" Target="/xl/worksheets/sheet7.xml" Id="Refb3ade3312845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40ee16643041a0" /><Relationship Type="http://schemas.openxmlformats.org/officeDocument/2006/relationships/chart" Target="/xl/drawings/charts/chart2.xml" Id="R18ca5ab24f6e48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Heroes: Match Count and Win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Maps: Match Count and Win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40ee16643041a0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ca5ab24f6e48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iveMatchData" displayName="CompetitiveMatchData" ref="A1:AE409" headerRowCount="1">
  <x:tableColumns count="31">
    <x:tableColumn id="1" name="Match_ID"/>
    <x:tableColumn id="2" name="Match_Date"/>
    <x:tableColumn id="3" name="Date_Label"/>
    <x:tableColumn id="4" name="Day_Total_Matches_All_Modes"/>
    <x:tableColumn id="5" name="Day_Wins_All_Modes"/>
    <x:tableColumn id="6" name="Day_Losses_All_Modes"/>
    <x:tableColumn id="7" name="Relative_Time"/>
    <x:tableColumn id="8" name="Match_Type"/>
    <x:tableColumn id="9" name="Game_Type"/>
    <x:tableColumn id="10" name="Map"/>
    <x:tableColumn id="11" name="Hero"/>
    <x:tableColumn id="12" name="Result"/>
    <x:tableColumn id="13" name="Award"/>
    <x:tableColumn id="14" name="Score_For"/>
    <x:tableColumn id="15" name="Score_Against"/>
    <x:tableColumn id="16" name="Rank"/>
    <x:tableColumn id="17" name="Rating_Score"/>
    <x:tableColumn id="18" name="Rank_Delta"/>
    <x:tableColumn id="19" name="Kills"/>
    <x:tableColumn id="20" name="Deaths"/>
    <x:tableColumn id="21" name="Assists"/>
    <x:tableColumn id="22" name="KDA_Reported"/>
    <x:tableColumn id="23" name="Source_Note"/>
    <x:tableColumn id="24" name="Win_Flag"/>
    <x:tableColumn id="25" name="Loss_Flag"/>
    <x:tableColumn id="26" name="Draw_Flag"/>
    <x:tableColumn id="27" name="Score_Diff"/>
    <x:tableColumn id="28" name="KDA_Calc"/>
    <x:tableColumn id="29" name="Kills_Assists"/>
    <x:tableColumn id="30" name="Deathless_Flag"/>
    <x:tableColumn id="31" name="Rank_Delta_Category"/>
  </x:tableColumns>
  <x:tableStyleInfo name="TableStyleMedium2" showRowStripes="1"/>
</x:table>
</file>

<file path=xl/tables/table2.xml><?xml version="1.0" encoding="utf-8"?>
<x:table xmlns:x="http://schemas.openxmlformats.org/spreadsheetml/2006/main" id="2" name="HeroSummary" displayName="HeroSummary" ref="A3:M30" headerRowCount="1">
  <x:tableColumns count="13">
    <x:tableColumn id="1" name="Category"/>
    <x:tableColumn id="2" name="Matches"/>
    <x:tableColumn id="3" name="Wins"/>
    <x:tableColumn id="4" name="Losses"/>
    <x:tableColumn id="5" name="Draws"/>
    <x:tableColumn id="6" name="Win_Rate"/>
    <x:tableColumn id="7" name="Avg_Kills"/>
    <x:tableColumn id="8" name="Avg_Deaths"/>
    <x:tableColumn id="9" name="Avg_Assists"/>
    <x:tableColumn id="10" name="Overall_KDA"/>
    <x:tableColumn id="11" name="Avg_Reported_KDA"/>
    <x:tableColumn id="12" name="Avg_Rank_Delta"/>
    <x:tableColumn id="13" name="Total_Rank_Delta"/>
  </x:tableColumns>
  <x:tableStyleInfo name="TableStyleMedium2" showRowStripes="1"/>
</x:table>
</file>

<file path=xl/tables/table3.xml><?xml version="1.0" encoding="utf-8"?>
<x:table xmlns:x="http://schemas.openxmlformats.org/spreadsheetml/2006/main" id="3" name="MapSummary" displayName="MapSummary" ref="A3:M18" headerRowCount="1">
  <x:tableColumns count="13">
    <x:tableColumn id="1" name="Category"/>
    <x:tableColumn id="2" name="Matches"/>
    <x:tableColumn id="3" name="Wins"/>
    <x:tableColumn id="4" name="Losses"/>
    <x:tableColumn id="5" name="Draws"/>
    <x:tableColumn id="6" name="Win_Rate"/>
    <x:tableColumn id="7" name="Avg_Kills"/>
    <x:tableColumn id="8" name="Avg_Deaths"/>
    <x:tableColumn id="9" name="Avg_Assists"/>
    <x:tableColumn id="10" name="Overall_KDA"/>
    <x:tableColumn id="11" name="Avg_Reported_KDA"/>
    <x:tableColumn id="12" name="Avg_Rank_Delta"/>
    <x:tableColumn id="13" name="Total_Rank_Delta"/>
  </x:tableColumns>
  <x:tableStyleInfo name="TableStyleMedium2" showRowStripes="1"/>
</x:table>
</file>

<file path=xl/tables/table4.xml><?xml version="1.0" encoding="utf-8"?>
<x:table xmlns:x="http://schemas.openxmlformats.org/spreadsheetml/2006/main" id="4" name="GameTypeSummary" displayName="GameTypeSummary" ref="A3:M6" headerRowCount="1">
  <x:tableColumns count="13">
    <x:tableColumn id="1" name="Category"/>
    <x:tableColumn id="2" name="Matches"/>
    <x:tableColumn id="3" name="Wins"/>
    <x:tableColumn id="4" name="Losses"/>
    <x:tableColumn id="5" name="Draws"/>
    <x:tableColumn id="6" name="Win_Rate"/>
    <x:tableColumn id="7" name="Avg_Kills"/>
    <x:tableColumn id="8" name="Avg_Deaths"/>
    <x:tableColumn id="9" name="Avg_Assists"/>
    <x:tableColumn id="10" name="Overall_KDA"/>
    <x:tableColumn id="11" name="Avg_Reported_KDA"/>
    <x:tableColumn id="12" name="Avg_Rank_Delta"/>
    <x:tableColumn id="13" name="Total_Rank_Delta"/>
  </x:tableColumns>
  <x:tableStyleInfo name="TableStyleMedium2" showRowStripes="1"/>
</x:table>
</file>

<file path=xl/tables/table5.xml><?xml version="1.0" encoding="utf-8"?>
<x:table xmlns:x="http://schemas.openxmlformats.org/spreadsheetml/2006/main" id="5" name="DailySummary" displayName="DailySummary" ref="A3:J53" headerRowCount="1">
  <x:tableColumns count="10">
    <x:tableColumn id="1" name="Match_Date"/>
    <x:tableColumn id="2" name="Matches"/>
    <x:tableColumn id="3" name="Wins"/>
    <x:tableColumn id="4" name="Losses"/>
    <x:tableColumn id="5" name="Draws"/>
    <x:tableColumn id="6" name="Win_Rate"/>
    <x:tableColumn id="7" name="Avg_Kills"/>
    <x:tableColumn id="8" name="Avg_Deaths"/>
    <x:tableColumn id="9" name="Avg_Assists"/>
    <x:tableColumn id="10" name="Total_Rank_Del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1d8d6e79e9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7cd52dc97f2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becbf98c454b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243066e92948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beae0a5d2c4a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1a1e7435ba4d9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9.149999618530273" hidden="0" customWidth="1"/>
    <x:col min="4" max="4" width="25.709999084472656" hidden="0" customWidth="1"/>
    <x:col min="5" max="5" width="17.899999618530273" hidden="0" customWidth="1"/>
    <x:col min="6" max="6" width="18.979999542236328" hidden="0" customWidth="1"/>
    <x:col min="7" max="7" width="11.569999694824219" hidden="0" customWidth="1"/>
    <x:col min="8" max="8" width="13" hidden="0" customWidth="1"/>
    <x:col min="9" max="9" width="14" hidden="0" customWidth="1"/>
    <x:col min="10" max="10" width="22" hidden="0" customWidth="1"/>
    <x:col min="11" max="11" width="18" hidden="0" customWidth="1"/>
    <x:col min="12" max="12" width="12" hidden="0" customWidth="1"/>
    <x:col min="13" max="13" width="10" hidden="0" customWidth="1"/>
    <x:col min="14" max="14" width="8.079999923706055" hidden="0" customWidth="1"/>
    <x:col min="15" max="15" width="11.4399995803833" hidden="0" customWidth="1"/>
    <x:col min="16" max="16" width="18" hidden="0" customWidth="1"/>
    <x:col min="17" max="17" width="10.630000114440918" hidden="0" customWidth="1"/>
    <x:col min="18" max="18" width="9.420000076293945" hidden="0" customWidth="1"/>
    <x:col min="19" max="19" width="3.2300000190734863" hidden="0" customWidth="1"/>
    <x:col min="20" max="20" width="5.650000095367432" hidden="0" customWidth="1"/>
    <x:col min="21" max="21" width="5.380000114440918" hidden="0" customWidth="1"/>
    <x:col min="22" max="22" width="11.979999542236328" hidden="0" customWidth="1"/>
    <x:col min="23" max="23" width="38" hidden="0" customWidth="1"/>
    <x:col min="24" max="24" width="7.539999961853027" hidden="0" customWidth="1"/>
    <x:col min="25" max="25" width="7.670000076293945" hidden="0" customWidth="1"/>
    <x:col min="26" max="26" width="8.479999542236328" hidden="0" customWidth="1"/>
    <x:col min="27" max="27" width="8.34000015258789" hidden="0" customWidth="1"/>
    <x:col min="28" max="28" width="10.359999656677246" hidden="0" customWidth="1"/>
    <x:col min="29" max="29" width="9.6899995803833" hidden="0" customWidth="1"/>
    <x:col min="30" max="30" width="12.25" hidden="0" customWidth="1"/>
    <x:col min="31" max="31" width="18" hidden="0" customWidth="1"/>
  </x:cols>
  <x:sheetData>
    <x:row r="1" ht="34" customHeight="1">
      <x:c r="A1" s="6" t="str">
        <x:v>Match_ID</x:v>
      </x:c>
      <x:c r="B1" s="6" t="str">
        <x:v>Match_Date</x:v>
      </x:c>
      <x:c r="C1" s="6" t="str">
        <x:v>Date_Label</x:v>
      </x:c>
      <x:c r="D1" s="6" t="str">
        <x:v>Day_Total_Matches_All_Modes</x:v>
      </x:c>
      <x:c r="E1" s="6" t="str">
        <x:v>Day_Wins_All_Modes</x:v>
      </x:c>
      <x:c r="F1" s="6" t="str">
        <x:v>Day_Losses_All_Modes</x:v>
      </x:c>
      <x:c r="G1" s="6" t="str">
        <x:v>Relative_Time</x:v>
      </x:c>
      <x:c r="H1" s="6" t="str">
        <x:v>Match_Type</x:v>
      </x:c>
      <x:c r="I1" s="6" t="str">
        <x:v>Game_Type</x:v>
      </x:c>
      <x:c r="J1" s="6" t="str">
        <x:v>Map</x:v>
      </x:c>
      <x:c r="K1" s="6" t="str">
        <x:v>Hero</x:v>
      </x:c>
      <x:c r="L1" s="6" t="str">
        <x:v>Result</x:v>
      </x:c>
      <x:c r="M1" s="6" t="str">
        <x:v>Award</x:v>
      </x:c>
      <x:c r="N1" s="6" t="str">
        <x:v>Score_For</x:v>
      </x:c>
      <x:c r="O1" s="6" t="str">
        <x:v>Score_Against</x:v>
      </x:c>
      <x:c r="P1" s="6" t="str">
        <x:v>Rank</x:v>
      </x:c>
      <x:c r="Q1" s="6" t="str">
        <x:v>Rating_Score</x:v>
      </x:c>
      <x:c r="R1" s="6" t="str">
        <x:v>Rank_Delta</x:v>
      </x:c>
      <x:c r="S1" s="6" t="str">
        <x:v>Kills</x:v>
      </x:c>
      <x:c r="T1" s="6" t="str">
        <x:v>Deaths</x:v>
      </x:c>
      <x:c r="U1" s="6" t="str">
        <x:v>Assists</x:v>
      </x:c>
      <x:c r="V1" s="6" t="str">
        <x:v>KDA_Reported</x:v>
      </x:c>
      <x:c r="W1" s="6" t="str">
        <x:v>Source_Note</x:v>
      </x:c>
      <x:c r="X1" s="6" t="str">
        <x:v>Win_Flag</x:v>
      </x:c>
      <x:c r="Y1" s="6" t="str">
        <x:v>Loss_Flag</x:v>
      </x:c>
      <x:c r="Z1" s="6" t="str">
        <x:v>Draw_Flag</x:v>
      </x:c>
      <x:c r="AA1" s="6" t="str">
        <x:v>Score_Diff</x:v>
      </x:c>
      <x:c r="AB1" s="6" t="str">
        <x:v>KDA_Calc</x:v>
      </x:c>
      <x:c r="AC1" s="6" t="str">
        <x:v>Kills_Assists</x:v>
      </x:c>
      <x:c r="AD1" s="6" t="str">
        <x:v>Deathless_Flag</x:v>
      </x:c>
      <x:c r="AE1" s="6" t="str">
        <x:v>Rank_Delta_Category</x:v>
      </x:c>
    </x:row>
    <x:row r="2">
      <x:c r="A2" t="n">
        <x:v>1</x:v>
      </x:c>
      <x:c r="B2" s="12" t="n">
        <x:v>46177</x:v>
      </x:c>
      <x:c r="C2" t="str">
        <x:v>Jun 4</x:v>
      </x:c>
      <x:c r="D2" t="n">
        <x:v>1</x:v>
      </x:c>
      <x:c r="E2" t="n">
        <x:v>0</x:v>
      </x:c>
      <x:c r="F2" s="14" t="n">
        <x:v>1</x:v>
      </x:c>
      <x:c r="G2" t="str">
        <x:v>14h ago</x:v>
      </x:c>
      <x:c r="H2" t="str">
        <x:v>Competitive</x:v>
      </x:c>
      <x:c r="I2" t="str">
        <x:v>Convergence</x:v>
      </x:c>
      <x:c r="J2" t="str">
        <x:v>Symbiotic Surface</x:v>
      </x:c>
      <x:c r="K2" t="str">
        <x:v>Squirrel Girl</x:v>
      </x:c>
      <x:c r="L2" t="str">
        <x:v>Loss</x:v>
      </x:c>
      <x:c r="M2" t="str">
        <x:v>SVP</x:v>
      </x:c>
      <x:c r="N2" t="n">
        <x:v>1</x:v>
      </x:c>
      <x:c r="O2" t="n">
        <x:v>2</x:v>
      </x:c>
      <x:c r="P2" t="str">
        <x:v>Grandmaster III</x:v>
      </x:c>
      <x:c r="Q2" t="n">
        <x:v>4492</x:v>
      </x:c>
      <x:c r="R2" s="14" t="n">
        <x:v>-15</x:v>
      </x:c>
      <x:c r="S2" t="n">
        <x:v>13</x:v>
      </x:c>
      <x:c r="T2" t="n">
        <x:v>7</x:v>
      </x:c>
      <x:c r="U2" t="n">
        <x:v>1</x:v>
      </x:c>
      <x:c r="V2" s="16" t="n">
        <x:v>2</x:v>
      </x:c>
      <x:c r="W2" t="str">
        <x:v>Parsed from Tracker.gg MHTML/PDF export; competitive rows only.</x:v>
      </x:c>
      <x:c r="X2" t="n">
        <x:f>IF(L2="Win",1,0)</x:f>
        <x:v>0</x:v>
      </x:c>
      <x:c r="Y2" s="14" t="n">
        <x:f>IF(L2="Loss",1,0)</x:f>
        <x:v>1</x:v>
      </x:c>
      <x:c r="Z2" t="n">
        <x:f>IF(L2="Draw/Unknown",1,0)</x:f>
        <x:v>0</x:v>
      </x:c>
      <x:c r="AA2" s="16" t="n">
        <x:f>IF(OR(N2="",O2=""),"",N2-O2)</x:f>
        <x:v>-1</x:v>
      </x:c>
      <x:c r="AB2" s="16" t="n">
        <x:f>IF(T2=0,S2+U2,(S2+U2)/T2)</x:f>
        <x:v>2</x:v>
      </x:c>
      <x:c r="AC2" t="n">
        <x:f>S2+U2</x:f>
        <x:v>14</x:v>
      </x:c>
      <x:c r="AD2" t="n">
        <x:f>IF(T2=0,1,0)</x:f>
        <x:v>0</x:v>
      </x:c>
      <x:c r="AE2" t="str">
        <x:f>IF(R2&gt;0,"Gain",IF(R2&lt;0,"Loss","Neutral"))</x:f>
        <x:v>Loss</x:v>
      </x:c>
    </x:row>
    <x:row r="3">
      <x:c r="A3" t="n">
        <x:v>2</x:v>
      </x:c>
      <x:c r="B3" s="12" t="n">
        <x:v>46176</x:v>
      </x:c>
      <x:c r="C3" t="str">
        <x:v>Jun 3</x:v>
      </x:c>
      <x:c r="D3" t="n">
        <x:v>6</x:v>
      </x:c>
      <x:c r="E3" t="n">
        <x:v>3</x:v>
      </x:c>
      <x:c r="F3" s="14" t="n">
        <x:v>3</x:v>
      </x:c>
      <x:c r="G3" t="str">
        <x:v>14h ago</x:v>
      </x:c>
      <x:c r="H3" t="str">
        <x:v>Competitive</x:v>
      </x:c>
      <x:c r="I3" t="str">
        <x:v>Convoy</x:v>
      </x:c>
      <x:c r="J3" t="str">
        <x:v>Museum of Contemplation</x:v>
      </x:c>
      <x:c r="K3" t="str">
        <x:v>Squirrel Girl</x:v>
      </x:c>
      <x:c r="L3" t="str">
        <x:v>Loss</x:v>
      </x:c>
      <x:c r="M3" t="str"/>
      <x:c r="N3" t="n">
        <x:v>0</x:v>
      </x:c>
      <x:c r="O3" t="n">
        <x:v>1</x:v>
      </x:c>
      <x:c r="P3" t="str">
        <x:v>Grandmaster III</x:v>
      </x:c>
      <x:c r="Q3" t="n">
        <x:v>4506</x:v>
      </x:c>
      <x:c r="R3" s="14" t="n">
        <x:v>-19</x:v>
      </x:c>
      <x:c r="S3" t="n">
        <x:v>1</x:v>
      </x:c>
      <x:c r="T3" t="n">
        <x:v>7</x:v>
      </x:c>
      <x:c r="U3" t="n">
        <x:v>0</x:v>
      </x:c>
      <x:c r="V3" s="16" t="n">
        <x:v>0.14</x:v>
      </x:c>
      <x:c r="W3" t="str">
        <x:v>Parsed from Tracker.gg MHTML/PDF export; competitive rows only.</x:v>
      </x:c>
      <x:c r="X3" t="n">
        <x:f>IF(L3="Win",1,0)</x:f>
        <x:v>0</x:v>
      </x:c>
      <x:c r="Y3" s="14" t="n">
        <x:f>IF(L3="Loss",1,0)</x:f>
        <x:v>1</x:v>
      </x:c>
      <x:c r="Z3" t="n">
        <x:f>IF(L3="Draw/Unknown",1,0)</x:f>
        <x:v>0</x:v>
      </x:c>
      <x:c r="AA3" s="16" t="str">
        <x:f>IF(OR(N3="",O3=""),"",N3-O3)</x:f>
      </x:c>
      <x:c r="AB3" s="16" t="n">
        <x:f>IF(T3=0,S3+U3,(S3+U3)/T3)</x:f>
        <x:v>0.14285714285714285</x:v>
      </x:c>
      <x:c r="AC3" t="n">
        <x:f>S3+U3</x:f>
        <x:v>1</x:v>
      </x:c>
      <x:c r="AD3" t="n">
        <x:f>IF(T3=0,1,0)</x:f>
        <x:v>0</x:v>
      </x:c>
      <x:c r="AE3" t="str">
        <x:f>IF(R3&gt;0,"Gain",IF(R3&lt;0,"Loss","Neutral"))</x:f>
        <x:v>Loss</x:v>
      </x:c>
    </x:row>
    <x:row r="4">
      <x:c r="A4" t="n">
        <x:v>3</x:v>
      </x:c>
      <x:c r="B4" s="12" t="n">
        <x:v>46176</x:v>
      </x:c>
      <x:c r="C4" t="str">
        <x:v>Jun 3</x:v>
      </x:c>
      <x:c r="D4" t="n">
        <x:v>6</x:v>
      </x:c>
      <x:c r="E4" t="n">
        <x:v>3</x:v>
      </x:c>
      <x:c r="F4" s="14" t="n">
        <x:v>3</x:v>
      </x:c>
      <x:c r="G4" t="str">
        <x:v>15h ago</x:v>
      </x:c>
      <x:c r="H4" t="str">
        <x:v>Competitive</x:v>
      </x:c>
      <x:c r="I4" t="str">
        <x:v>Convoy</x:v>
      </x:c>
      <x:c r="J4" t="str">
        <x:v>Spider-Islands</x:v>
      </x:c>
      <x:c r="K4" t="str">
        <x:v>The Thing</x:v>
      </x:c>
      <x:c r="L4" t="str">
        <x:v>Win</x:v>
      </x:c>
      <x:c r="M4" t="str"/>
      <x:c r="N4" t="n">
        <x:v>2</x:v>
      </x:c>
      <x:c r="O4" t="n">
        <x:v>1</x:v>
      </x:c>
      <x:c r="P4" t="str">
        <x:v>Grandmaster III</x:v>
      </x:c>
      <x:c r="Q4" t="n">
        <x:v>4525</x:v>
      </x:c>
      <x:c r="R4" s="14" t="n">
        <x:v>20</x:v>
      </x:c>
      <x:c r="S4" t="n">
        <x:v>28</x:v>
      </x:c>
      <x:c r="T4" t="n">
        <x:v>11</x:v>
      </x:c>
      <x:c r="U4" t="n">
        <x:v>10</x:v>
      </x:c>
      <x:c r="V4" s="16" t="n">
        <x:v>3.45</x:v>
      </x:c>
      <x:c r="W4" t="str">
        <x:v>Parsed from Tracker.gg MHTML/PDF export; competitive rows only.</x:v>
      </x:c>
      <x:c r="X4" t="n">
        <x:f>IF(L4="Win",1,0)</x:f>
        <x:v>1</x:v>
      </x:c>
      <x:c r="Y4" s="14" t="n">
        <x:f>IF(L4="Loss",1,0)</x:f>
        <x:v>0</x:v>
      </x:c>
      <x:c r="Z4" t="n">
        <x:f>IF(L4="Draw/Unknown",1,0)</x:f>
        <x:v>0</x:v>
      </x:c>
      <x:c r="AA4" s="16" t="n">
        <x:f>IF(OR(N4="",O4=""),"",N4-O4)</x:f>
        <x:v>1</x:v>
      </x:c>
      <x:c r="AB4" s="16" t="n">
        <x:f>IF(T4=0,S4+U4,(S4+U4)/T4)</x:f>
        <x:v>3.4545454545454546</x:v>
      </x:c>
      <x:c r="AC4" t="n">
        <x:f>S4+U4</x:f>
        <x:v>38</x:v>
      </x:c>
      <x:c r="AD4" t="n">
        <x:f>IF(T4=0,1,0)</x:f>
        <x:v>0</x:v>
      </x:c>
      <x:c r="AE4" t="str">
        <x:f>IF(R4&gt;0,"Gain",IF(R4&lt;0,"Loss","Neutral"))</x:f>
        <x:v>Gain</x:v>
      </x:c>
    </x:row>
    <x:row r="5">
      <x:c r="A5" t="n">
        <x:v>4</x:v>
      </x:c>
      <x:c r="B5" s="12" t="n">
        <x:v>46176</x:v>
      </x:c>
      <x:c r="C5" t="str">
        <x:v>Jun 3</x:v>
      </x:c>
      <x:c r="D5" t="n">
        <x:v>6</x:v>
      </x:c>
      <x:c r="E5" t="n">
        <x:v>3</x:v>
      </x:c>
      <x:c r="F5" s="14" t="n">
        <x:v>3</x:v>
      </x:c>
      <x:c r="G5" t="str">
        <x:v>15h ago</x:v>
      </x:c>
      <x:c r="H5" t="str">
        <x:v>Competitive</x:v>
      </x:c>
      <x:c r="I5" t="str">
        <x:v>Convergence</x:v>
      </x:c>
      <x:c r="J5" t="str">
        <x:v>Hall Of Djalia</x:v>
      </x:c>
      <x:c r="K5" t="str">
        <x:v>The Thing</x:v>
      </x:c>
      <x:c r="L5" t="str">
        <x:v>Loss</x:v>
      </x:c>
      <x:c r="M5" t="str"/>
      <x:c r="N5" t="n">
        <x:v>1</x:v>
      </x:c>
      <x:c r="O5" t="n">
        <x:v>2</x:v>
      </x:c>
      <x:c r="P5" t="str">
        <x:v>Grandmaster III</x:v>
      </x:c>
      <x:c r="Q5" t="n">
        <x:v>4505</x:v>
      </x:c>
      <x:c r="R5" s="14" t="n">
        <x:v>-26</x:v>
      </x:c>
      <x:c r="S5" t="n">
        <x:v>11</x:v>
      </x:c>
      <x:c r="T5" t="n">
        <x:v>11</x:v>
      </x:c>
      <x:c r="U5" t="n">
        <x:v>5</x:v>
      </x:c>
      <x:c r="V5" s="16" t="n">
        <x:v>1.45</x:v>
      </x:c>
      <x:c r="W5" t="str">
        <x:v>Parsed from Tracker.gg MHTML/PDF export; competitive rows only.</x:v>
      </x:c>
      <x:c r="X5" t="n">
        <x:f>IF(L5="Win",1,0)</x:f>
        <x:v>0</x:v>
      </x:c>
      <x:c r="Y5" s="14" t="n">
        <x:f>IF(L5="Loss",1,0)</x:f>
        <x:v>1</x:v>
      </x:c>
      <x:c r="Z5" t="n">
        <x:f>IF(L5="Draw/Unknown",1,0)</x:f>
        <x:v>0</x:v>
      </x:c>
      <x:c r="AA5" s="16" t="n">
        <x:f>IF(OR(N5="",O5=""),"",N5-O5)</x:f>
        <x:v>-1</x:v>
      </x:c>
      <x:c r="AB5" s="16" t="n">
        <x:f>IF(T5=0,S5+U5,(S5+U5)/T5)</x:f>
        <x:v>1.4545454545454546</x:v>
      </x:c>
      <x:c r="AC5" t="n">
        <x:f>S5+U5</x:f>
        <x:v>16</x:v>
      </x:c>
      <x:c r="AD5" t="n">
        <x:f>IF(T5=0,1,0)</x:f>
        <x:v>0</x:v>
      </x:c>
      <x:c r="AE5" t="str">
        <x:f>IF(R5&gt;0,"Gain",IF(R5&lt;0,"Loss","Neutral"))</x:f>
        <x:v>Loss</x:v>
      </x:c>
    </x:row>
    <x:row r="6">
      <x:c r="A6" t="n">
        <x:v>5</x:v>
      </x:c>
      <x:c r="B6" s="12" t="n">
        <x:v>46176</x:v>
      </x:c>
      <x:c r="C6" t="str">
        <x:v>Jun 3</x:v>
      </x:c>
      <x:c r="D6" t="n">
        <x:v>6</x:v>
      </x:c>
      <x:c r="E6" t="n">
        <x:v>3</x:v>
      </x:c>
      <x:c r="F6" s="14" t="n">
        <x:v>3</x:v>
      </x:c>
      <x:c r="G6" t="str">
        <x:v>15h ago</x:v>
      </x:c>
      <x:c r="H6" t="str">
        <x:v>Competitive</x:v>
      </x:c>
      <x:c r="I6" t="str">
        <x:v>Domination</x:v>
      </x:c>
      <x:c r="J6" t="str">
        <x:v>Celestial Husk</x:v>
      </x:c>
      <x:c r="K6" t="str">
        <x:v>Storm</x:v>
      </x:c>
      <x:c r="L6" t="str">
        <x:v>Win</x:v>
      </x:c>
      <x:c r="M6" t="str"/>
      <x:c r="N6" t="n">
        <x:v>2</x:v>
      </x:c>
      <x:c r="O6" t="n">
        <x:v>0</x:v>
      </x:c>
      <x:c r="P6" t="str">
        <x:v>Grandmaster III</x:v>
      </x:c>
      <x:c r="Q6" t="n">
        <x:v>4530</x:v>
      </x:c>
      <x:c r="R6" s="14" t="n">
        <x:v>20</x:v>
      </x:c>
      <x:c r="S6" t="n">
        <x:v>27</x:v>
      </x:c>
      <x:c r="T6" t="n">
        <x:v>8</x:v>
      </x:c>
      <x:c r="U6" t="n">
        <x:v>13</x:v>
      </x:c>
      <x:c r="V6" s="16" t="n">
        <x:v>5</x:v>
      </x:c>
      <x:c r="W6" t="str">
        <x:v>Parsed from Tracker.gg MHTML/PDF export; competitive rows only.</x:v>
      </x:c>
      <x:c r="X6" t="n">
        <x:f>IF(L6="Win",1,0)</x:f>
        <x:v>1</x:v>
      </x:c>
      <x:c r="Y6" s="14" t="n">
        <x:f>IF(L6="Loss",1,0)</x:f>
        <x:v>0</x:v>
      </x:c>
      <x:c r="Z6" t="n">
        <x:f>IF(L6="Draw/Unknown",1,0)</x:f>
        <x:v>0</x:v>
      </x:c>
      <x:c r="AA6" s="16" t="str">
        <x:f>IF(OR(N6="",O6=""),"",N6-O6)</x:f>
      </x:c>
      <x:c r="AB6" s="16" t="n">
        <x:f>IF(T6=0,S6+U6,(S6+U6)/T6)</x:f>
        <x:v>5</x:v>
      </x:c>
      <x:c r="AC6" t="n">
        <x:f>S6+U6</x:f>
        <x:v>40</x:v>
      </x:c>
      <x:c r="AD6" t="n">
        <x:f>IF(T6=0,1,0)</x:f>
        <x:v>0</x:v>
      </x:c>
      <x:c r="AE6" t="str">
        <x:f>IF(R6&gt;0,"Gain",IF(R6&lt;0,"Loss","Neutral"))</x:f>
        <x:v>Gain</x:v>
      </x:c>
    </x:row>
    <x:row r="7">
      <x:c r="A7" t="n">
        <x:v>6</x:v>
      </x:c>
      <x:c r="B7" s="12" t="n">
        <x:v>46176</x:v>
      </x:c>
      <x:c r="C7" t="str">
        <x:v>Jun 3</x:v>
      </x:c>
      <x:c r="D7" t="n">
        <x:v>6</x:v>
      </x:c>
      <x:c r="E7" t="n">
        <x:v>3</x:v>
      </x:c>
      <x:c r="F7" s="14" t="n">
        <x:v>3</x:v>
      </x:c>
      <x:c r="G7" t="str">
        <x:v>16h ago</x:v>
      </x:c>
      <x:c r="H7" t="str">
        <x:v>Competitive</x:v>
      </x:c>
      <x:c r="I7" t="str">
        <x:v>Convoy</x:v>
      </x:c>
      <x:c r="J7" t="str">
        <x:v>Arakko</x:v>
      </x:c>
      <x:c r="K7" t="str">
        <x:v>Peni Parker</x:v>
      </x:c>
      <x:c r="L7" t="str">
        <x:v>Win</x:v>
      </x:c>
      <x:c r="M7" t="str"/>
      <x:c r="N7" t="n">
        <x:v>0</x:v>
      </x:c>
      <x:c r="O7" t="n">
        <x:v>1</x:v>
      </x:c>
      <x:c r="P7" t="str">
        <x:v>Grandmaster III</x:v>
      </x:c>
      <x:c r="Q7" t="n">
        <x:v>4509</x:v>
      </x:c>
      <x:c r="R7" s="14" t="n">
        <x:v>20</x:v>
      </x:c>
      <x:c r="S7" t="n">
        <x:v>7</x:v>
      </x:c>
      <x:c r="T7" t="n">
        <x:v>3</x:v>
      </x:c>
      <x:c r="U7" t="n">
        <x:v>8</x:v>
      </x:c>
      <x:c r="V7" s="16" t="n">
        <x:v>5</x:v>
      </x:c>
      <x:c r="W7" t="str">
        <x:v>Parsed from Tracker.gg MHTML/PDF export; competitive rows only.</x:v>
      </x:c>
      <x:c r="X7" t="n">
        <x:f>IF(L7="Win",1,0)</x:f>
        <x:v>1</x:v>
      </x:c>
      <x:c r="Y7" s="14" t="n">
        <x:f>IF(L7="Loss",1,0)</x:f>
        <x:v>0</x:v>
      </x:c>
      <x:c r="Z7" t="n">
        <x:f>IF(L7="Draw/Unknown",1,0)</x:f>
        <x:v>0</x:v>
      </x:c>
      <x:c r="AA7" s="16" t="str">
        <x:f>IF(OR(N7="",O7=""),"",N7-O7)</x:f>
      </x:c>
      <x:c r="AB7" s="16" t="n">
        <x:f>IF(T7=0,S7+U7,(S7+U7)/T7)</x:f>
        <x:v>5</x:v>
      </x:c>
      <x:c r="AC7" t="n">
        <x:f>S7+U7</x:f>
        <x:v>15</x:v>
      </x:c>
      <x:c r="AD7" t="n">
        <x:f>IF(T7=0,1,0)</x:f>
        <x:v>0</x:v>
      </x:c>
      <x:c r="AE7" t="str">
        <x:f>IF(R7&gt;0,"Gain",IF(R7&lt;0,"Loss","Neutral"))</x:f>
        <x:v>Gain</x:v>
      </x:c>
    </x:row>
    <x:row r="8">
      <x:c r="A8" t="n">
        <x:v>7</x:v>
      </x:c>
      <x:c r="B8" s="12" t="n">
        <x:v>46176</x:v>
      </x:c>
      <x:c r="C8" t="str">
        <x:v>Jun 3</x:v>
      </x:c>
      <x:c r="D8" t="n">
        <x:v>6</x:v>
      </x:c>
      <x:c r="E8" t="n">
        <x:v>3</x:v>
      </x:c>
      <x:c r="F8" s="14" t="n">
        <x:v>3</x:v>
      </x:c>
      <x:c r="G8" t="str">
        <x:v>16h ago</x:v>
      </x:c>
      <x:c r="H8" t="str">
        <x:v>Competitive</x:v>
      </x:c>
      <x:c r="I8" t="str">
        <x:v>Convoy</x:v>
      </x:c>
      <x:c r="J8" t="str">
        <x:v>Museum of Contemplation</x:v>
      </x:c>
      <x:c r="K8" t="str">
        <x:v>The Thing</x:v>
      </x:c>
      <x:c r="L8" t="str">
        <x:v>Loss</x:v>
      </x:c>
      <x:c r="M8" t="str"/>
      <x:c r="N8" t="n">
        <x:v>2</x:v>
      </x:c>
      <x:c r="O8" t="n">
        <x:v>1</x:v>
      </x:c>
      <x:c r="P8" t="str">
        <x:v>Grandmaster III</x:v>
      </x:c>
      <x:c r="Q8" t="n">
        <x:v>4489</x:v>
      </x:c>
      <x:c r="R8" s="14" t="n">
        <x:v>-20</x:v>
      </x:c>
      <x:c r="S8" t="n">
        <x:v>23</x:v>
      </x:c>
      <x:c r="T8" t="n">
        <x:v>16</x:v>
      </x:c>
      <x:c r="U8" t="n">
        <x:v>7</x:v>
      </x:c>
      <x:c r="V8" s="16" t="n">
        <x:v>1.88</x:v>
      </x:c>
      <x:c r="W8" t="str">
        <x:v>Parsed from Tracker.gg MHTML/PDF export; competitive rows only.</x:v>
      </x:c>
      <x:c r="X8" t="n">
        <x:f>IF(L8="Win",1,0)</x:f>
        <x:v>0</x:v>
      </x:c>
      <x:c r="Y8" s="14" t="n">
        <x:f>IF(L8="Loss",1,0)</x:f>
        <x:v>1</x:v>
      </x:c>
      <x:c r="Z8" t="n">
        <x:f>IF(L8="Draw/Unknown",1,0)</x:f>
        <x:v>0</x:v>
      </x:c>
      <x:c r="AA8" s="16" t="n">
        <x:f>IF(OR(N8="",O8=""),"",N8-O8)</x:f>
        <x:v>1</x:v>
      </x:c>
      <x:c r="AB8" s="16" t="n">
        <x:f>IF(T8=0,S8+U8,(S8+U8)/T8)</x:f>
        <x:v>1.875</x:v>
      </x:c>
      <x:c r="AC8" t="n">
        <x:f>S8+U8</x:f>
        <x:v>30</x:v>
      </x:c>
      <x:c r="AD8" t="n">
        <x:f>IF(T8=0,1,0)</x:f>
        <x:v>0</x:v>
      </x:c>
      <x:c r="AE8" t="str">
        <x:f>IF(R8&gt;0,"Gain",IF(R8&lt;0,"Loss","Neutral"))</x:f>
        <x:v>Loss</x:v>
      </x:c>
    </x:row>
    <x:row r="9">
      <x:c r="A9" t="n">
        <x:v>8</x:v>
      </x:c>
      <x:c r="B9" s="12" t="n">
        <x:v>46175</x:v>
      </x:c>
      <x:c r="C9" t="str">
        <x:v>Jun 2</x:v>
      </x:c>
      <x:c r="D9" t="n">
        <x:v>26</x:v>
      </x:c>
      <x:c r="E9" t="n">
        <x:v>13</x:v>
      </x:c>
      <x:c r="F9" s="14" t="n">
        <x:v>13</x:v>
      </x:c>
      <x:c r="G9" t="str">
        <x:v>1d ago</x:v>
      </x:c>
      <x:c r="H9" t="str">
        <x:v>Competitive</x:v>
      </x:c>
      <x:c r="I9" t="str">
        <x:v>Convoy</x:v>
      </x:c>
      <x:c r="J9" t="str">
        <x:v>Midtown</x:v>
      </x:c>
      <x:c r="K9" t="str">
        <x:v>Devil Dinosaur</x:v>
      </x:c>
      <x:c r="L9" t="str">
        <x:v>Loss</x:v>
      </x:c>
      <x:c r="M9" t="str"/>
      <x:c r="N9" t="n">
        <x:v>1</x:v>
      </x:c>
      <x:c r="O9" t="n">
        <x:v>2</x:v>
      </x:c>
      <x:c r="P9" t="str">
        <x:v>Grandmaster III</x:v>
      </x:c>
      <x:c r="Q9" t="n">
        <x:v>4508</x:v>
      </x:c>
      <x:c r="R9" s="14" t="n">
        <x:v>-23</x:v>
      </x:c>
      <x:c r="S9" t="n">
        <x:v>25</x:v>
      </x:c>
      <x:c r="T9" t="n">
        <x:v>13</x:v>
      </x:c>
      <x:c r="U9" t="n">
        <x:v>20</x:v>
      </x:c>
      <x:c r="V9" s="16" t="n">
        <x:v>3.46</x:v>
      </x:c>
      <x:c r="W9" t="str">
        <x:v>Parsed from Tracker.gg MHTML/PDF export; competitive rows only.</x:v>
      </x:c>
      <x:c r="X9" t="n">
        <x:f>IF(L9="Win",1,0)</x:f>
        <x:v>0</x:v>
      </x:c>
      <x:c r="Y9" s="14" t="n">
        <x:f>IF(L9="Loss",1,0)</x:f>
        <x:v>1</x:v>
      </x:c>
      <x:c r="Z9" t="n">
        <x:f>IF(L9="Draw/Unknown",1,0)</x:f>
        <x:v>0</x:v>
      </x:c>
      <x:c r="AA9" s="16" t="n">
        <x:f>IF(OR(N9="",O9=""),"",N9-O9)</x:f>
        <x:v>-1</x:v>
      </x:c>
      <x:c r="AB9" s="16" t="n">
        <x:f>IF(T9=0,S9+U9,(S9+U9)/T9)</x:f>
        <x:v>3.4615384615384617</x:v>
      </x:c>
      <x:c r="AC9" t="n">
        <x:f>S9+U9</x:f>
        <x:v>45</x:v>
      </x:c>
      <x:c r="AD9" t="n">
        <x:f>IF(T9=0,1,0)</x:f>
        <x:v>0</x:v>
      </x:c>
      <x:c r="AE9" t="str">
        <x:f>IF(R9&gt;0,"Gain",IF(R9&lt;0,"Loss","Neutral"))</x:f>
        <x:v>Loss</x:v>
      </x:c>
    </x:row>
    <x:row r="10">
      <x:c r="A10" t="n">
        <x:v>9</x:v>
      </x:c>
      <x:c r="B10" s="12" t="n">
        <x:v>46175</x:v>
      </x:c>
      <x:c r="C10" t="str">
        <x:v>Jun 2</x:v>
      </x:c>
      <x:c r="D10" t="n">
        <x:v>26</x:v>
      </x:c>
      <x:c r="E10" t="n">
        <x:v>13</x:v>
      </x:c>
      <x:c r="F10" s="14" t="n">
        <x:v>13</x:v>
      </x:c>
      <x:c r="G10" t="str">
        <x:v>1d ago</x:v>
      </x:c>
      <x:c r="H10" t="str">
        <x:v>Competitive</x:v>
      </x:c>
      <x:c r="I10" t="str">
        <x:v>Domination</x:v>
      </x:c>
      <x:c r="J10" t="str">
        <x:v>Hell's Heaven</x:v>
      </x:c>
      <x:c r="K10" t="str">
        <x:v>Peni Parker</x:v>
      </x:c>
      <x:c r="L10" t="str">
        <x:v>Win</x:v>
      </x:c>
      <x:c r="M10" t="str"/>
      <x:c r="N10" t="n">
        <x:v>0</x:v>
      </x:c>
      <x:c r="O10" t="n">
        <x:v>2</x:v>
      </x:c>
      <x:c r="P10" t="str">
        <x:v>Grandmaster III</x:v>
      </x:c>
      <x:c r="Q10" t="n">
        <x:v>4530</x:v>
      </x:c>
      <x:c r="R10" s="14" t="n">
        <x:v>22</x:v>
      </x:c>
      <x:c r="S10" t="n">
        <x:v>17</x:v>
      </x:c>
      <x:c r="T10" t="n">
        <x:v>4</x:v>
      </x:c>
      <x:c r="U10" t="n">
        <x:v>9</x:v>
      </x:c>
      <x:c r="V10" s="16" t="n">
        <x:v>6.5</x:v>
      </x:c>
      <x:c r="W10" t="str">
        <x:v>Parsed from Tracker.gg MHTML/PDF export; competitive rows only.</x:v>
      </x:c>
      <x:c r="X10" t="n">
        <x:f>IF(L10="Win",1,0)</x:f>
        <x:v>1</x:v>
      </x:c>
      <x:c r="Y10" s="14" t="n">
        <x:f>IF(L10="Loss",1,0)</x:f>
        <x:v>0</x:v>
      </x:c>
      <x:c r="Z10" t="n">
        <x:f>IF(L10="Draw/Unknown",1,0)</x:f>
        <x:v>0</x:v>
      </x:c>
      <x:c r="AA10" s="16" t="str">
        <x:f>IF(OR(N10="",O10=""),"",N10-O10)</x:f>
      </x:c>
      <x:c r="AB10" s="16" t="n">
        <x:f>IF(T10=0,S10+U10,(S10+U10)/T10)</x:f>
        <x:v>6.5</x:v>
      </x:c>
      <x:c r="AC10" t="n">
        <x:f>S10+U10</x:f>
        <x:v>26</x:v>
      </x:c>
      <x:c r="AD10" t="n">
        <x:f>IF(T10=0,1,0)</x:f>
        <x:v>0</x:v>
      </x:c>
      <x:c r="AE10" t="str">
        <x:f>IF(R10&gt;0,"Gain",IF(R10&lt;0,"Loss","Neutral"))</x:f>
        <x:v>Gain</x:v>
      </x:c>
    </x:row>
    <x:row r="11">
      <x:c r="A11" t="n">
        <x:v>10</x:v>
      </x:c>
      <x:c r="B11" s="12" t="n">
        <x:v>46175</x:v>
      </x:c>
      <x:c r="C11" t="str">
        <x:v>Jun 2</x:v>
      </x:c>
      <x:c r="D11" t="n">
        <x:v>26</x:v>
      </x:c>
      <x:c r="E11" t="n">
        <x:v>13</x:v>
      </x:c>
      <x:c r="F11" s="14" t="n">
        <x:v>13</x:v>
      </x:c>
      <x:c r="G11" t="str">
        <x:v>1d ago</x:v>
      </x:c>
      <x:c r="H11" t="str">
        <x:v>Competitive</x:v>
      </x:c>
      <x:c r="I11" t="str">
        <x:v>Domination</x:v>
      </x:c>
      <x:c r="J11" t="str">
        <x:v>Hell's Heaven</x:v>
      </x:c>
      <x:c r="K11" t="str">
        <x:v>The Thing</x:v>
      </x:c>
      <x:c r="L11" t="str">
        <x:v>Loss</x:v>
      </x:c>
      <x:c r="M11" t="str"/>
      <x:c r="N11" t="n">
        <x:v>2</x:v>
      </x:c>
      <x:c r="O11" t="n">
        <x:v>1</x:v>
      </x:c>
      <x:c r="P11" t="str">
        <x:v>Grandmaster III</x:v>
      </x:c>
      <x:c r="Q11" t="n">
        <x:v>4508</x:v>
      </x:c>
      <x:c r="R11" s="14" t="n">
        <x:v>-24</x:v>
      </x:c>
      <x:c r="S11" t="n">
        <x:v>17</x:v>
      </x:c>
      <x:c r="T11" t="n">
        <x:v>13</x:v>
      </x:c>
      <x:c r="U11" t="n">
        <x:v>4</x:v>
      </x:c>
      <x:c r="V11" s="16" t="n">
        <x:v>1.62</x:v>
      </x:c>
      <x:c r="W11" t="str">
        <x:v>Parsed from Tracker.gg MHTML/PDF export; competitive rows only.</x:v>
      </x:c>
      <x:c r="X11" t="n">
        <x:f>IF(L11="Win",1,0)</x:f>
        <x:v>0</x:v>
      </x:c>
      <x:c r="Y11" s="14" t="n">
        <x:f>IF(L11="Loss",1,0)</x:f>
        <x:v>1</x:v>
      </x:c>
      <x:c r="Z11" t="n">
        <x:f>IF(L11="Draw/Unknown",1,0)</x:f>
        <x:v>0</x:v>
      </x:c>
      <x:c r="AA11" s="16" t="n">
        <x:f>IF(OR(N11="",O11=""),"",N11-O11)</x:f>
        <x:v>1</x:v>
      </x:c>
      <x:c r="AB11" s="16" t="n">
        <x:f>IF(T11=0,S11+U11,(S11+U11)/T11)</x:f>
        <x:v>1.6153846153846154</x:v>
      </x:c>
      <x:c r="AC11" t="n">
        <x:f>S11+U11</x:f>
        <x:v>21</x:v>
      </x:c>
      <x:c r="AD11" t="n">
        <x:f>IF(T11=0,1,0)</x:f>
        <x:v>0</x:v>
      </x:c>
      <x:c r="AE11" t="str">
        <x:f>IF(R11&gt;0,"Gain",IF(R11&lt;0,"Loss","Neutral"))</x:f>
        <x:v>Loss</x:v>
      </x:c>
    </x:row>
    <x:row r="12">
      <x:c r="A12" t="n">
        <x:v>11</x:v>
      </x:c>
      <x:c r="B12" s="12" t="n">
        <x:v>46175</x:v>
      </x:c>
      <x:c r="C12" t="str">
        <x:v>Jun 2</x:v>
      </x:c>
      <x:c r="D12" t="n">
        <x:v>26</x:v>
      </x:c>
      <x:c r="E12" t="n">
        <x:v>13</x:v>
      </x:c>
      <x:c r="F12" s="14" t="n">
        <x:v>13</x:v>
      </x:c>
      <x:c r="G12" t="str">
        <x:v>1d ago</x:v>
      </x:c>
      <x:c r="H12" t="str">
        <x:v>Competitive</x:v>
      </x:c>
      <x:c r="I12" t="str">
        <x:v>Convoy</x:v>
      </x:c>
      <x:c r="J12" t="str">
        <x:v>Spider-Islands</x:v>
      </x:c>
      <x:c r="K12" t="str">
        <x:v>Peni Parker</x:v>
      </x:c>
      <x:c r="L12" t="str">
        <x:v>Win</x:v>
      </x:c>
      <x:c r="M12" t="str"/>
      <x:c r="N12" t="n">
        <x:v>0</x:v>
      </x:c>
      <x:c r="O12" t="n">
        <x:v>1</x:v>
      </x:c>
      <x:c r="P12" t="str">
        <x:v>Grandmaster III</x:v>
      </x:c>
      <x:c r="Q12" t="n">
        <x:v>4531</x:v>
      </x:c>
      <x:c r="R12" s="14" t="n">
        <x:v>21</x:v>
      </x:c>
      <x:c r="S12" t="n">
        <x:v>12</x:v>
      </x:c>
      <x:c r="T12" t="n">
        <x:v>2</x:v>
      </x:c>
      <x:c r="U12" t="n">
        <x:v>16</x:v>
      </x:c>
      <x:c r="V12" s="16" t="n">
        <x:v>14</x:v>
      </x:c>
      <x:c r="W12" t="str">
        <x:v>Parsed from Tracker.gg MHTML/PDF export; competitive rows only.</x:v>
      </x:c>
      <x:c r="X12" t="n">
        <x:f>IF(L12="Win",1,0)</x:f>
        <x:v>1</x:v>
      </x:c>
      <x:c r="Y12" s="14" t="n">
        <x:f>IF(L12="Loss",1,0)</x:f>
        <x:v>0</x:v>
      </x:c>
      <x:c r="Z12" t="n">
        <x:f>IF(L12="Draw/Unknown",1,0)</x:f>
        <x:v>0</x:v>
      </x:c>
      <x:c r="AA12" s="16" t="str">
        <x:f>IF(OR(N12="",O12=""),"",N12-O12)</x:f>
      </x:c>
      <x:c r="AB12" s="16" t="n">
        <x:f>IF(T12=0,S12+U12,(S12+U12)/T12)</x:f>
        <x:v>14</x:v>
      </x:c>
      <x:c r="AC12" t="n">
        <x:f>S12+U12</x:f>
        <x:v>28</x:v>
      </x:c>
      <x:c r="AD12" t="n">
        <x:f>IF(T12=0,1,0)</x:f>
        <x:v>0</x:v>
      </x:c>
      <x:c r="AE12" t="str">
        <x:f>IF(R12&gt;0,"Gain",IF(R12&lt;0,"Loss","Neutral"))</x:f>
        <x:v>Gain</x:v>
      </x:c>
    </x:row>
    <x:row r="13">
      <x:c r="A13" t="n">
        <x:v>12</x:v>
      </x:c>
      <x:c r="B13" s="12" t="n">
        <x:v>46175</x:v>
      </x:c>
      <x:c r="C13" t="str">
        <x:v>Jun 2</x:v>
      </x:c>
      <x:c r="D13" t="n">
        <x:v>26</x:v>
      </x:c>
      <x:c r="E13" t="n">
        <x:v>13</x:v>
      </x:c>
      <x:c r="F13" s="14" t="n">
        <x:v>13</x:v>
      </x:c>
      <x:c r="G13" t="str">
        <x:v>1d ago</x:v>
      </x:c>
      <x:c r="H13" t="str">
        <x:v>Competitive</x:v>
      </x:c>
      <x:c r="I13" t="str">
        <x:v>Convergence</x:v>
      </x:c>
      <x:c r="J13" t="str">
        <x:v>Hall Of Djalia</x:v>
      </x:c>
      <x:c r="K13" t="str">
        <x:v>The Thing</x:v>
      </x:c>
      <x:c r="L13" t="str">
        <x:v>Loss</x:v>
      </x:c>
      <x:c r="M13" t="str"/>
      <x:c r="N13" t="n">
        <x:v>1</x:v>
      </x:c>
      <x:c r="O13" t="n">
        <x:v>2</x:v>
      </x:c>
      <x:c r="P13" t="str">
        <x:v>Grandmaster III</x:v>
      </x:c>
      <x:c r="Q13" t="n">
        <x:v>4509</x:v>
      </x:c>
      <x:c r="R13" s="14" t="n">
        <x:v>-20</x:v>
      </x:c>
      <x:c r="S13" t="n">
        <x:v>4</x:v>
      </x:c>
      <x:c r="T13" t="n">
        <x:v>10</x:v>
      </x:c>
      <x:c r="U13" t="n">
        <x:v>0</x:v>
      </x:c>
      <x:c r="V13" s="16" t="n">
        <x:v>0.4</x:v>
      </x:c>
      <x:c r="W13" t="str">
        <x:v>Parsed from Tracker.gg MHTML/PDF export; competitive rows only.</x:v>
      </x:c>
      <x:c r="X13" t="n">
        <x:f>IF(L13="Win",1,0)</x:f>
        <x:v>0</x:v>
      </x:c>
      <x:c r="Y13" s="14" t="n">
        <x:f>IF(L13="Loss",1,0)</x:f>
        <x:v>1</x:v>
      </x:c>
      <x:c r="Z13" t="n">
        <x:f>IF(L13="Draw/Unknown",1,0)</x:f>
        <x:v>0</x:v>
      </x:c>
      <x:c r="AA13" s="16" t="n">
        <x:f>IF(OR(N13="",O13=""),"",N13-O13)</x:f>
        <x:v>-1</x:v>
      </x:c>
      <x:c r="AB13" s="16" t="n">
        <x:f>IF(T13=0,S13+U13,(S13+U13)/T13)</x:f>
        <x:v>0.4</x:v>
      </x:c>
      <x:c r="AC13" t="n">
        <x:f>S13+U13</x:f>
        <x:v>4</x:v>
      </x:c>
      <x:c r="AD13" t="n">
        <x:f>IF(T13=0,1,0)</x:f>
        <x:v>0</x:v>
      </x:c>
      <x:c r="AE13" t="str">
        <x:f>IF(R13&gt;0,"Gain",IF(R13&lt;0,"Loss","Neutral"))</x:f>
        <x:v>Loss</x:v>
      </x:c>
    </x:row>
    <x:row r="14">
      <x:c r="A14" t="n">
        <x:v>13</x:v>
      </x:c>
      <x:c r="B14" s="12" t="n">
        <x:v>46175</x:v>
      </x:c>
      <x:c r="C14" t="str">
        <x:v>Jun 2</x:v>
      </x:c>
      <x:c r="D14" t="n">
        <x:v>26</x:v>
      </x:c>
      <x:c r="E14" t="n">
        <x:v>13</x:v>
      </x:c>
      <x:c r="F14" s="14" t="n">
        <x:v>13</x:v>
      </x:c>
      <x:c r="G14" t="str">
        <x:v>1d ago</x:v>
      </x:c>
      <x:c r="H14" t="str">
        <x:v>Competitive</x:v>
      </x:c>
      <x:c r="I14" t="str">
        <x:v>Convergence</x:v>
      </x:c>
      <x:c r="J14" t="str">
        <x:v>Central Park</x:v>
      </x:c>
      <x:c r="K14" t="str">
        <x:v>Mantis</x:v>
      </x:c>
      <x:c r="L14" t="str">
        <x:v>Loss</x:v>
      </x:c>
      <x:c r="M14" t="str"/>
      <x:c r="N14" t="n">
        <x:v>0</x:v>
      </x:c>
      <x:c r="O14" t="n">
        <x:v>1</x:v>
      </x:c>
      <x:c r="P14" t="str">
        <x:v>Grandmaster III</x:v>
      </x:c>
      <x:c r="Q14" t="n">
        <x:v>4529</x:v>
      </x:c>
      <x:c r="R14" s="14" t="n">
        <x:v>-21</x:v>
      </x:c>
      <x:c r="S14" t="n">
        <x:v>4</x:v>
      </x:c>
      <x:c r="T14" t="n">
        <x:v>11</x:v>
      </x:c>
      <x:c r="U14" t="n">
        <x:v>3</x:v>
      </x:c>
      <x:c r="V14" s="16" t="n">
        <x:v>0.64</x:v>
      </x:c>
      <x:c r="W14" t="str">
        <x:v>Parsed from Tracker.gg MHTML/PDF export; competitive rows only.</x:v>
      </x:c>
      <x:c r="X14" t="n">
        <x:f>IF(L14="Win",1,0)</x:f>
        <x:v>0</x:v>
      </x:c>
      <x:c r="Y14" s="14" t="n">
        <x:f>IF(L14="Loss",1,0)</x:f>
        <x:v>1</x:v>
      </x:c>
      <x:c r="Z14" t="n">
        <x:f>IF(L14="Draw/Unknown",1,0)</x:f>
        <x:v>0</x:v>
      </x:c>
      <x:c r="AA14" s="16" t="str">
        <x:f>IF(OR(N14="",O14=""),"",N14-O14)</x:f>
      </x:c>
      <x:c r="AB14" s="16" t="n">
        <x:f>IF(T14=0,S14+U14,(S14+U14)/T14)</x:f>
        <x:v>0.6363636363636364</x:v>
      </x:c>
      <x:c r="AC14" t="n">
        <x:f>S14+U14</x:f>
        <x:v>7</x:v>
      </x:c>
      <x:c r="AD14" t="n">
        <x:f>IF(T14=0,1,0)</x:f>
        <x:v>0</x:v>
      </x:c>
      <x:c r="AE14" t="str">
        <x:f>IF(R14&gt;0,"Gain",IF(R14&lt;0,"Loss","Neutral"))</x:f>
        <x:v>Loss</x:v>
      </x:c>
    </x:row>
    <x:row r="15">
      <x:c r="A15" t="n">
        <x:v>14</x:v>
      </x:c>
      <x:c r="B15" s="12" t="n">
        <x:v>46175</x:v>
      </x:c>
      <x:c r="C15" t="str">
        <x:v>Jun 2</x:v>
      </x:c>
      <x:c r="D15" t="n">
        <x:v>26</x:v>
      </x:c>
      <x:c r="E15" t="n">
        <x:v>13</x:v>
      </x:c>
      <x:c r="F15" s="14" t="n">
        <x:v>13</x:v>
      </x:c>
      <x:c r="G15" t="str">
        <x:v>1d ago</x:v>
      </x:c>
      <x:c r="H15" t="str">
        <x:v>Competitive</x:v>
      </x:c>
      <x:c r="I15" t="str">
        <x:v>Convergence</x:v>
      </x:c>
      <x:c r="J15" t="str">
        <x:v>Unknown / not captured</x:v>
      </x:c>
      <x:c r="K15" t="str">
        <x:v>Bruce Banner</x:v>
      </x:c>
      <x:c r="L15" t="str">
        <x:v>Win</x:v>
      </x:c>
      <x:c r="M15" t="str"/>
      <x:c r="N15" t="n">
        <x:v>2</x:v>
      </x:c>
      <x:c r="O15" t="n">
        <x:v>1</x:v>
      </x:c>
      <x:c r="P15" t="str">
        <x:v>Grandmaster III</x:v>
      </x:c>
      <x:c r="Q15" t="n">
        <x:v>4550</x:v>
      </x:c>
      <x:c r="R15" s="14" t="n">
        <x:v>22</x:v>
      </x:c>
      <x:c r="S15" t="n">
        <x:v>26</x:v>
      </x:c>
      <x:c r="T15" t="n">
        <x:v>9</x:v>
      </x:c>
      <x:c r="U15" t="n">
        <x:v>10</x:v>
      </x:c>
      <x:c r="V15" s="16" t="n">
        <x:v>4</x:v>
      </x:c>
      <x:c r="W15" t="str">
        <x:v>Parsed from Tracker.gg MHTML/PDF export; competitive rows only.</x:v>
      </x:c>
      <x:c r="X15" t="n">
        <x:f>IF(L15="Win",1,0)</x:f>
        <x:v>1</x:v>
      </x:c>
      <x:c r="Y15" s="14" t="n">
        <x:f>IF(L15="Loss",1,0)</x:f>
        <x:v>0</x:v>
      </x:c>
      <x:c r="Z15" t="n">
        <x:f>IF(L15="Draw/Unknown",1,0)</x:f>
        <x:v>0</x:v>
      </x:c>
      <x:c r="AA15" s="16" t="n">
        <x:f>IF(OR(N15="",O15=""),"",N15-O15)</x:f>
        <x:v>1</x:v>
      </x:c>
      <x:c r="AB15" s="16" t="n">
        <x:f>IF(T15=0,S15+U15,(S15+U15)/T15)</x:f>
        <x:v>4</x:v>
      </x:c>
      <x:c r="AC15" t="n">
        <x:f>S15+U15</x:f>
        <x:v>36</x:v>
      </x:c>
      <x:c r="AD15" t="n">
        <x:f>IF(T15=0,1,0)</x:f>
        <x:v>0</x:v>
      </x:c>
      <x:c r="AE15" t="str">
        <x:f>IF(R15&gt;0,"Gain",IF(R15&lt;0,"Loss","Neutral"))</x:f>
        <x:v>Gain</x:v>
      </x:c>
    </x:row>
    <x:row r="16">
      <x:c r="A16" t="n">
        <x:v>15</x:v>
      </x:c>
      <x:c r="B16" s="12" t="n">
        <x:v>46175</x:v>
      </x:c>
      <x:c r="C16" t="str">
        <x:v>Jun 2</x:v>
      </x:c>
      <x:c r="D16" t="n">
        <x:v>26</x:v>
      </x:c>
      <x:c r="E16" t="n">
        <x:v>13</x:v>
      </x:c>
      <x:c r="F16" s="14" t="n">
        <x:v>13</x:v>
      </x:c>
      <x:c r="G16" t="str">
        <x:v>1d ago</x:v>
      </x:c>
      <x:c r="H16" t="str">
        <x:v>Competitive</x:v>
      </x:c>
      <x:c r="I16" t="str">
        <x:v>Domination</x:v>
      </x:c>
      <x:c r="J16" t="str">
        <x:v>Birnin T'Challa</x:v>
      </x:c>
      <x:c r="K16" t="str">
        <x:v>Peni Parker</x:v>
      </x:c>
      <x:c r="L16" t="str">
        <x:v>Loss</x:v>
      </x:c>
      <x:c r="M16" t="str"/>
      <x:c r="N16" t="n">
        <x:v>0</x:v>
      </x:c>
      <x:c r="O16" t="n">
        <x:v>2</x:v>
      </x:c>
      <x:c r="P16" t="str">
        <x:v>Grandmaster III</x:v>
      </x:c>
      <x:c r="Q16" t="n">
        <x:v>4527</x:v>
      </x:c>
      <x:c r="R16" s="14" t="n">
        <x:v>-24</x:v>
      </x:c>
      <x:c r="S16" t="n">
        <x:v>12</x:v>
      </x:c>
      <x:c r="T16" t="n">
        <x:v>7</x:v>
      </x:c>
      <x:c r="U16" t="n">
        <x:v>5</x:v>
      </x:c>
      <x:c r="V16" s="16" t="n">
        <x:v>2.43</x:v>
      </x:c>
      <x:c r="W16" t="str">
        <x:v>Parsed from Tracker.gg MHTML/PDF export; competitive rows only.</x:v>
      </x:c>
      <x:c r="X16" t="n">
        <x:f>IF(L16="Win",1,0)</x:f>
        <x:v>0</x:v>
      </x:c>
      <x:c r="Y16" s="14" t="n">
        <x:f>IF(L16="Loss",1,0)</x:f>
        <x:v>1</x:v>
      </x:c>
      <x:c r="Z16" t="n">
        <x:f>IF(L16="Draw/Unknown",1,0)</x:f>
        <x:v>0</x:v>
      </x:c>
      <x:c r="AA16" s="16" t="str">
        <x:f>IF(OR(N16="",O16=""),"",N16-O16)</x:f>
      </x:c>
      <x:c r="AB16" s="16" t="n">
        <x:f>IF(T16=0,S16+U16,(S16+U16)/T16)</x:f>
        <x:v>2.4285714285714284</x:v>
      </x:c>
      <x:c r="AC16" t="n">
        <x:f>S16+U16</x:f>
        <x:v>17</x:v>
      </x:c>
      <x:c r="AD16" t="n">
        <x:f>IF(T16=0,1,0)</x:f>
        <x:v>0</x:v>
      </x:c>
      <x:c r="AE16" t="str">
        <x:f>IF(R16&gt;0,"Gain",IF(R16&lt;0,"Loss","Neutral"))</x:f>
        <x:v>Loss</x:v>
      </x:c>
    </x:row>
    <x:row r="17">
      <x:c r="A17" t="n">
        <x:v>16</x:v>
      </x:c>
      <x:c r="B17" s="12" t="n">
        <x:v>46175</x:v>
      </x:c>
      <x:c r="C17" t="str">
        <x:v>Jun 2</x:v>
      </x:c>
      <x:c r="D17" t="n">
        <x:v>26</x:v>
      </x:c>
      <x:c r="E17" t="n">
        <x:v>13</x:v>
      </x:c>
      <x:c r="F17" s="14" t="n">
        <x:v>13</x:v>
      </x:c>
      <x:c r="G17" t="str">
        <x:v>1d ago</x:v>
      </x:c>
      <x:c r="H17" t="str">
        <x:v>Competitive</x:v>
      </x:c>
      <x:c r="I17" t="str">
        <x:v>Convoy</x:v>
      </x:c>
      <x:c r="J17" t="str">
        <x:v>Spider-Islands</x:v>
      </x:c>
      <x:c r="K17" t="str">
        <x:v>The Thing</x:v>
      </x:c>
      <x:c r="L17" t="str">
        <x:v>Loss</x:v>
      </x:c>
      <x:c r="M17" t="str"/>
      <x:c r="N17" t="n">
        <x:v>1</x:v>
      </x:c>
      <x:c r="O17" t="n">
        <x:v>2</x:v>
      </x:c>
      <x:c r="P17" t="str">
        <x:v>Grandmaster III</x:v>
      </x:c>
      <x:c r="Q17" t="n">
        <x:v>4550</x:v>
      </x:c>
      <x:c r="R17" s="14" t="n">
        <x:v>-21</x:v>
      </x:c>
      <x:c r="S17" t="n">
        <x:v>12</x:v>
      </x:c>
      <x:c r="T17" t="n">
        <x:v>11</x:v>
      </x:c>
      <x:c r="U17" t="n">
        <x:v>4</x:v>
      </x:c>
      <x:c r="V17" s="16" t="n">
        <x:v>1.45</x:v>
      </x:c>
      <x:c r="W17" t="str">
        <x:v>Parsed from Tracker.gg MHTML/PDF export; competitive rows only.</x:v>
      </x:c>
      <x:c r="X17" t="n">
        <x:f>IF(L17="Win",1,0)</x:f>
        <x:v>0</x:v>
      </x:c>
      <x:c r="Y17" s="14" t="n">
        <x:f>IF(L17="Loss",1,0)</x:f>
        <x:v>1</x:v>
      </x:c>
      <x:c r="Z17" t="n">
        <x:f>IF(L17="Draw/Unknown",1,0)</x:f>
        <x:v>0</x:v>
      </x:c>
      <x:c r="AA17" s="16" t="n">
        <x:f>IF(OR(N17="",O17=""),"",N17-O17)</x:f>
        <x:v>-1</x:v>
      </x:c>
      <x:c r="AB17" s="16" t="n">
        <x:f>IF(T17=0,S17+U17,(S17+U17)/T17)</x:f>
        <x:v>1.4545454545454546</x:v>
      </x:c>
      <x:c r="AC17" t="n">
        <x:f>S17+U17</x:f>
        <x:v>16</x:v>
      </x:c>
      <x:c r="AD17" t="n">
        <x:f>IF(T17=0,1,0)</x:f>
        <x:v>0</x:v>
      </x:c>
      <x:c r="AE17" t="str">
        <x:f>IF(R17&gt;0,"Gain",IF(R17&lt;0,"Loss","Neutral"))</x:f>
        <x:v>Loss</x:v>
      </x:c>
    </x:row>
    <x:row r="18">
      <x:c r="A18" t="n">
        <x:v>17</x:v>
      </x:c>
      <x:c r="B18" s="12" t="n">
        <x:v>46175</x:v>
      </x:c>
      <x:c r="C18" t="str">
        <x:v>Jun 2</x:v>
      </x:c>
      <x:c r="D18" t="n">
        <x:v>26</x:v>
      </x:c>
      <x:c r="E18" t="n">
        <x:v>13</x:v>
      </x:c>
      <x:c r="F18" s="14" t="n">
        <x:v>13</x:v>
      </x:c>
      <x:c r="G18" t="str">
        <x:v>1d ago</x:v>
      </x:c>
      <x:c r="H18" t="str">
        <x:v>Competitive</x:v>
      </x:c>
      <x:c r="I18" t="str">
        <x:v>Convoy</x:v>
      </x:c>
      <x:c r="J18" t="str">
        <x:v>Spider-Islands</x:v>
      </x:c>
      <x:c r="K18" t="str">
        <x:v>The Thing</x:v>
      </x:c>
      <x:c r="L18" t="str">
        <x:v>Win</x:v>
      </x:c>
      <x:c r="M18" t="str"/>
      <x:c r="N18" t="n">
        <x:v>1</x:v>
      </x:c>
      <x:c r="O18" t="n">
        <x:v>2</x:v>
      </x:c>
      <x:c r="P18" t="str">
        <x:v>Grandmaster III</x:v>
      </x:c>
      <x:c r="Q18" t="n">
        <x:v>4571</x:v>
      </x:c>
      <x:c r="R18" s="14" t="n">
        <x:v>22</x:v>
      </x:c>
      <x:c r="S18" t="n">
        <x:v>30</x:v>
      </x:c>
      <x:c r="T18" t="n">
        <x:v>7</x:v>
      </x:c>
      <x:c r="U18" t="n">
        <x:v>12</x:v>
      </x:c>
      <x:c r="V18" s="16" t="n">
        <x:v>6</x:v>
      </x:c>
      <x:c r="W18" t="str">
        <x:v>Parsed from Tracker.gg MHTML/PDF export; competitive rows only.</x:v>
      </x:c>
      <x:c r="X18" t="n">
        <x:f>IF(L18="Win",1,0)</x:f>
        <x:v>1</x:v>
      </x:c>
      <x:c r="Y18" s="14" t="n">
        <x:f>IF(L18="Loss",1,0)</x:f>
        <x:v>0</x:v>
      </x:c>
      <x:c r="Z18" t="n">
        <x:f>IF(L18="Draw/Unknown",1,0)</x:f>
        <x:v>0</x:v>
      </x:c>
      <x:c r="AA18" s="16" t="n">
        <x:f>IF(OR(N18="",O18=""),"",N18-O18)</x:f>
        <x:v>-1</x:v>
      </x:c>
      <x:c r="AB18" s="16" t="n">
        <x:f>IF(T18=0,S18+U18,(S18+U18)/T18)</x:f>
        <x:v>6</x:v>
      </x:c>
      <x:c r="AC18" t="n">
        <x:f>S18+U18</x:f>
        <x:v>42</x:v>
      </x:c>
      <x:c r="AD18" t="n">
        <x:f>IF(T18=0,1,0)</x:f>
        <x:v>0</x:v>
      </x:c>
      <x:c r="AE18" t="str">
        <x:f>IF(R18&gt;0,"Gain",IF(R18&lt;0,"Loss","Neutral"))</x:f>
        <x:v>Gain</x:v>
      </x:c>
    </x:row>
    <x:row r="19">
      <x:c r="A19" t="n">
        <x:v>18</x:v>
      </x:c>
      <x:c r="B19" s="12" t="n">
        <x:v>46175</x:v>
      </x:c>
      <x:c r="C19" t="str">
        <x:v>Jun 2</x:v>
      </x:c>
      <x:c r="D19" t="n">
        <x:v>26</x:v>
      </x:c>
      <x:c r="E19" t="n">
        <x:v>13</x:v>
      </x:c>
      <x:c r="F19" s="14" t="n">
        <x:v>13</x:v>
      </x:c>
      <x:c r="G19" t="str">
        <x:v>1d ago</x:v>
      </x:c>
      <x:c r="H19" t="str">
        <x:v>Competitive</x:v>
      </x:c>
      <x:c r="I19" t="str">
        <x:v>Convoy</x:v>
      </x:c>
      <x:c r="J19" t="str">
        <x:v>Arakko</x:v>
      </x:c>
      <x:c r="K19" t="str">
        <x:v>Magneto</x:v>
      </x:c>
      <x:c r="L19" t="str">
        <x:v>Win</x:v>
      </x:c>
      <x:c r="M19" t="str"/>
      <x:c r="N19" t="n">
        <x:v>2</x:v>
      </x:c>
      <x:c r="O19" t="n">
        <x:v>0</x:v>
      </x:c>
      <x:c r="P19" t="str">
        <x:v>Grandmaster III</x:v>
      </x:c>
      <x:c r="Q19" t="n">
        <x:v>4549</x:v>
      </x:c>
      <x:c r="R19" s="14" t="n">
        <x:v>20</x:v>
      </x:c>
      <x:c r="S19" t="n">
        <x:v>8</x:v>
      </x:c>
      <x:c r="T19" t="n">
        <x:v>5</x:v>
      </x:c>
      <x:c r="U19" t="n">
        <x:v>3</x:v>
      </x:c>
      <x:c r="V19" s="16" t="n">
        <x:v>2.2</x:v>
      </x:c>
      <x:c r="W19" t="str">
        <x:v>Parsed from Tracker.gg MHTML/PDF export; competitive rows only.</x:v>
      </x:c>
      <x:c r="X19" t="n">
        <x:f>IF(L19="Win",1,0)</x:f>
        <x:v>1</x:v>
      </x:c>
      <x:c r="Y19" s="14" t="n">
        <x:f>IF(L19="Loss",1,0)</x:f>
        <x:v>0</x:v>
      </x:c>
      <x:c r="Z19" t="n">
        <x:f>IF(L19="Draw/Unknown",1,0)</x:f>
        <x:v>0</x:v>
      </x:c>
      <x:c r="AA19" s="16" t="str">
        <x:f>IF(OR(N19="",O19=""),"",N19-O19)</x:f>
      </x:c>
      <x:c r="AB19" s="16" t="n">
        <x:f>IF(T19=0,S19+U19,(S19+U19)/T19)</x:f>
        <x:v>2.2</x:v>
      </x:c>
      <x:c r="AC19" t="n">
        <x:f>S19+U19</x:f>
        <x:v>11</x:v>
      </x:c>
      <x:c r="AD19" t="n">
        <x:f>IF(T19=0,1,0)</x:f>
        <x:v>0</x:v>
      </x:c>
      <x:c r="AE19" t="str">
        <x:f>IF(R19&gt;0,"Gain",IF(R19&lt;0,"Loss","Neutral"))</x:f>
        <x:v>Gain</x:v>
      </x:c>
    </x:row>
    <x:row r="20">
      <x:c r="A20" t="n">
        <x:v>19</x:v>
      </x:c>
      <x:c r="B20" s="12" t="n">
        <x:v>46175</x:v>
      </x:c>
      <x:c r="C20" t="str">
        <x:v>Jun 2</x:v>
      </x:c>
      <x:c r="D20" t="n">
        <x:v>26</x:v>
      </x:c>
      <x:c r="E20" t="n">
        <x:v>13</x:v>
      </x:c>
      <x:c r="F20" s="14" t="n">
        <x:v>13</x:v>
      </x:c>
      <x:c r="G20" t="str">
        <x:v>1d ago</x:v>
      </x:c>
      <x:c r="H20" t="str">
        <x:v>Competitive</x:v>
      </x:c>
      <x:c r="I20" t="str">
        <x:v>Convergence</x:v>
      </x:c>
      <x:c r="J20" t="str">
        <x:v>Unknown / not captured</x:v>
      </x:c>
      <x:c r="K20" t="str">
        <x:v>Bruce Banner</x:v>
      </x:c>
      <x:c r="L20" t="str">
        <x:v>Win</x:v>
      </x:c>
      <x:c r="M20" t="str"/>
      <x:c r="N20" t="n">
        <x:v>2</x:v>
      </x:c>
      <x:c r="O20" t="n">
        <x:v>1</x:v>
      </x:c>
      <x:c r="P20" t="str">
        <x:v>Grandmaster III</x:v>
      </x:c>
      <x:c r="Q20" t="n">
        <x:v>4528</x:v>
      </x:c>
      <x:c r="R20" s="14" t="n">
        <x:v>19</x:v>
      </x:c>
      <x:c r="S20" t="n">
        <x:v>33</x:v>
      </x:c>
      <x:c r="T20" t="n">
        <x:v>8</x:v>
      </x:c>
      <x:c r="U20" t="n">
        <x:v>5</x:v>
      </x:c>
      <x:c r="V20" s="16" t="n">
        <x:v>4.75</x:v>
      </x:c>
      <x:c r="W20" t="str">
        <x:v>Parsed from Tracker.gg MHTML/PDF export; competitive rows only.</x:v>
      </x:c>
      <x:c r="X20" t="n">
        <x:f>IF(L20="Win",1,0)</x:f>
        <x:v>1</x:v>
      </x:c>
      <x:c r="Y20" s="14" t="n">
        <x:f>IF(L20="Loss",1,0)</x:f>
        <x:v>0</x:v>
      </x:c>
      <x:c r="Z20" t="n">
        <x:f>IF(L20="Draw/Unknown",1,0)</x:f>
        <x:v>0</x:v>
      </x:c>
      <x:c r="AA20" s="16" t="n">
        <x:f>IF(OR(N20="",O20=""),"",N20-O20)</x:f>
        <x:v>1</x:v>
      </x:c>
      <x:c r="AB20" s="16" t="n">
        <x:f>IF(T20=0,S20+U20,(S20+U20)/T20)</x:f>
        <x:v>4.75</x:v>
      </x:c>
      <x:c r="AC20" t="n">
        <x:f>S20+U20</x:f>
        <x:v>38</x:v>
      </x:c>
      <x:c r="AD20" t="n">
        <x:f>IF(T20=0,1,0)</x:f>
        <x:v>0</x:v>
      </x:c>
      <x:c r="AE20" t="str">
        <x:f>IF(R20&gt;0,"Gain",IF(R20&lt;0,"Loss","Neutral"))</x:f>
        <x:v>Gain</x:v>
      </x:c>
    </x:row>
    <x:row r="21">
      <x:c r="A21" t="n">
        <x:v>20</x:v>
      </x:c>
      <x:c r="B21" s="12" t="n">
        <x:v>46175</x:v>
      </x:c>
      <x:c r="C21" t="str">
        <x:v>Jun 2</x:v>
      </x:c>
      <x:c r="D21" t="n">
        <x:v>26</x:v>
      </x:c>
      <x:c r="E21" t="n">
        <x:v>13</x:v>
      </x:c>
      <x:c r="F21" s="14" t="n">
        <x:v>13</x:v>
      </x:c>
      <x:c r="G21" t="str">
        <x:v>1d ago</x:v>
      </x:c>
      <x:c r="H21" t="str">
        <x:v>Competitive</x:v>
      </x:c>
      <x:c r="I21" t="str">
        <x:v>Convergence</x:v>
      </x:c>
      <x:c r="J21" t="str">
        <x:v>Symbiotic Surface</x:v>
      </x:c>
      <x:c r="K21" t="str">
        <x:v>Peni Parker</x:v>
      </x:c>
      <x:c r="L21" t="str">
        <x:v>Loss</x:v>
      </x:c>
      <x:c r="M21" t="str"/>
      <x:c r="N21" t="n">
        <x:v>0</x:v>
      </x:c>
      <x:c r="O21" t="n">
        <x:v>1</x:v>
      </x:c>
      <x:c r="P21" t="str">
        <x:v>Grandmaster III</x:v>
      </x:c>
      <x:c r="Q21" t="n">
        <x:v>4509</x:v>
      </x:c>
      <x:c r="R21" s="14" t="n">
        <x:v>-22</x:v>
      </x:c>
      <x:c r="S21" t="n">
        <x:v>6</x:v>
      </x:c>
      <x:c r="T21" t="n">
        <x:v>7</x:v>
      </x:c>
      <x:c r="U21" t="n">
        <x:v>4</x:v>
      </x:c>
      <x:c r="V21" s="16" t="n">
        <x:v>1.43</x:v>
      </x:c>
      <x:c r="W21" t="str">
        <x:v>Parsed from Tracker.gg MHTML/PDF export; competitive rows only.</x:v>
      </x:c>
      <x:c r="X21" t="n">
        <x:f>IF(L21="Win",1,0)</x:f>
        <x:v>0</x:v>
      </x:c>
      <x:c r="Y21" s="14" t="n">
        <x:f>IF(L21="Loss",1,0)</x:f>
        <x:v>1</x:v>
      </x:c>
      <x:c r="Z21" t="n">
        <x:f>IF(L21="Draw/Unknown",1,0)</x:f>
        <x:v>0</x:v>
      </x:c>
      <x:c r="AA21" s="16" t="str">
        <x:f>IF(OR(N21="",O21=""),"",N21-O21)</x:f>
      </x:c>
      <x:c r="AB21" s="16" t="n">
        <x:f>IF(T21=0,S21+U21,(S21+U21)/T21)</x:f>
        <x:v>1.4285714285714286</x:v>
      </x:c>
      <x:c r="AC21" t="n">
        <x:f>S21+U21</x:f>
        <x:v>10</x:v>
      </x:c>
      <x:c r="AD21" t="n">
        <x:f>IF(T21=0,1,0)</x:f>
        <x:v>0</x:v>
      </x:c>
      <x:c r="AE21" t="str">
        <x:f>IF(R21&gt;0,"Gain",IF(R21&lt;0,"Loss","Neutral"))</x:f>
        <x:v>Loss</x:v>
      </x:c>
    </x:row>
    <x:row r="22">
      <x:c r="A22" t="n">
        <x:v>21</x:v>
      </x:c>
      <x:c r="B22" s="12" t="n">
        <x:v>46175</x:v>
      </x:c>
      <x:c r="C22" t="str">
        <x:v>Jun 2</x:v>
      </x:c>
      <x:c r="D22" t="n">
        <x:v>26</x:v>
      </x:c>
      <x:c r="E22" t="n">
        <x:v>13</x:v>
      </x:c>
      <x:c r="F22" s="14" t="n">
        <x:v>13</x:v>
      </x:c>
      <x:c r="G22" t="str">
        <x:v>1d ago</x:v>
      </x:c>
      <x:c r="H22" t="str">
        <x:v>Competitive</x:v>
      </x:c>
      <x:c r="I22" t="str">
        <x:v>Domination</x:v>
      </x:c>
      <x:c r="J22" t="str">
        <x:v>Celestial Husk</x:v>
      </x:c>
      <x:c r="K22" t="str">
        <x:v>Gambit</x:v>
      </x:c>
      <x:c r="L22" t="str">
        <x:v>Loss</x:v>
      </x:c>
      <x:c r="M22" t="str"/>
      <x:c r="N22" t="n">
        <x:v>0</x:v>
      </x:c>
      <x:c r="O22" t="n">
        <x:v>2</x:v>
      </x:c>
      <x:c r="P22" t="str">
        <x:v>Grandmaster III</x:v>
      </x:c>
      <x:c r="Q22" t="n">
        <x:v>4531</x:v>
      </x:c>
      <x:c r="R22" s="14" t="n">
        <x:v>-23</x:v>
      </x:c>
      <x:c r="S22" t="n">
        <x:v>9</x:v>
      </x:c>
      <x:c r="T22" t="n">
        <x:v>9</x:v>
      </x:c>
      <x:c r="U22" t="n">
        <x:v>8</x:v>
      </x:c>
      <x:c r="V22" s="16" t="n">
        <x:v>1.89</x:v>
      </x:c>
      <x:c r="W22" t="str">
        <x:v>Parsed from Tracker.gg MHTML/PDF export; competitive rows only.</x:v>
      </x:c>
      <x:c r="X22" t="n">
        <x:f>IF(L22="Win",1,0)</x:f>
        <x:v>0</x:v>
      </x:c>
      <x:c r="Y22" s="14" t="n">
        <x:f>IF(L22="Loss",1,0)</x:f>
        <x:v>1</x:v>
      </x:c>
      <x:c r="Z22" t="n">
        <x:f>IF(L22="Draw/Unknown",1,0)</x:f>
        <x:v>0</x:v>
      </x:c>
      <x:c r="AA22" s="16" t="str">
        <x:f>IF(OR(N22="",O22=""),"",N22-O22)</x:f>
      </x:c>
      <x:c r="AB22" s="16" t="n">
        <x:f>IF(T22=0,S22+U22,(S22+U22)/T22)</x:f>
        <x:v>1.8888888888888888</x:v>
      </x:c>
      <x:c r="AC22" t="n">
        <x:f>S22+U22</x:f>
        <x:v>17</x:v>
      </x:c>
      <x:c r="AD22" t="n">
        <x:f>IF(T22=0,1,0)</x:f>
        <x:v>0</x:v>
      </x:c>
      <x:c r="AE22" t="str">
        <x:f>IF(R22&gt;0,"Gain",IF(R22&lt;0,"Loss","Neutral"))</x:f>
        <x:v>Loss</x:v>
      </x:c>
    </x:row>
    <x:row r="23">
      <x:c r="A23" t="n">
        <x:v>22</x:v>
      </x:c>
      <x:c r="B23" s="12" t="n">
        <x:v>46173</x:v>
      </x:c>
      <x:c r="C23" t="str">
        <x:v>May 31</x:v>
      </x:c>
      <x:c r="D23" t="n">
        <x:v>2</x:v>
      </x:c>
      <x:c r="E23" t="n">
        <x:v>1</x:v>
      </x:c>
      <x:c r="F23" s="14" t="n">
        <x:v>1</x:v>
      </x:c>
      <x:c r="G23" t="str">
        <x:v>4d ago</x:v>
      </x:c>
      <x:c r="H23" t="str">
        <x:v>Competitive</x:v>
      </x:c>
      <x:c r="I23" t="str">
        <x:v>Convoy</x:v>
      </x:c>
      <x:c r="J23" t="str">
        <x:v>Museum of Contemplation</x:v>
      </x:c>
      <x:c r="K23" t="str">
        <x:v>Hela</x:v>
      </x:c>
      <x:c r="L23" t="str">
        <x:v>Win</x:v>
      </x:c>
      <x:c r="M23" t="str"/>
      <x:c r="N23" t="n">
        <x:v>0</x:v>
      </x:c>
      <x:c r="O23" t="n">
        <x:v>0</x:v>
      </x:c>
      <x:c r="P23" t="str">
        <x:v>Grandmaster III</x:v>
      </x:c>
      <x:c r="Q23" t="n">
        <x:v>4554</x:v>
      </x:c>
      <x:c r="R23" s="14" t="n">
        <x:v>20</x:v>
      </x:c>
      <x:c r="S23" t="n">
        <x:v>14</x:v>
      </x:c>
      <x:c r="T23" t="n">
        <x:v>1</x:v>
      </x:c>
      <x:c r="U23" t="n">
        <x:v>2</x:v>
      </x:c>
      <x:c r="V23" s="16" t="n">
        <x:v>16</x:v>
      </x:c>
      <x:c r="W23" t="str">
        <x:v>Parsed from Tracker.gg MHTML/PDF export; competitive rows only.</x:v>
      </x:c>
      <x:c r="X23" t="n">
        <x:f>IF(L23="Win",1,0)</x:f>
        <x:v>1</x:v>
      </x:c>
      <x:c r="Y23" s="14" t="n">
        <x:f>IF(L23="Loss",1,0)</x:f>
        <x:v>0</x:v>
      </x:c>
      <x:c r="Z23" t="n">
        <x:f>IF(L23="Draw/Unknown",1,0)</x:f>
        <x:v>0</x:v>
      </x:c>
      <x:c r="AA23" s="16" t="str">
        <x:f>IF(OR(N23="",O23=""),"",N23-O23)</x:f>
      </x:c>
      <x:c r="AB23" s="16" t="n">
        <x:f>IF(T23=0,S23+U23,(S23+U23)/T23)</x:f>
        <x:v>16</x:v>
      </x:c>
      <x:c r="AC23" t="n">
        <x:f>S23+U23</x:f>
        <x:v>16</x:v>
      </x:c>
      <x:c r="AD23" t="n">
        <x:f>IF(T23=0,1,0)</x:f>
        <x:v>0</x:v>
      </x:c>
      <x:c r="AE23" t="str">
        <x:f>IF(R23&gt;0,"Gain",IF(R23&lt;0,"Loss","Neutral"))</x:f>
        <x:v>Gain</x:v>
      </x:c>
    </x:row>
    <x:row r="24">
      <x:c r="A24" t="n">
        <x:v>23</x:v>
      </x:c>
      <x:c r="B24" s="12" t="n">
        <x:v>46173</x:v>
      </x:c>
      <x:c r="C24" t="str">
        <x:v>May 31</x:v>
      </x:c>
      <x:c r="D24" t="n">
        <x:v>2</x:v>
      </x:c>
      <x:c r="E24" t="n">
        <x:v>1</x:v>
      </x:c>
      <x:c r="F24" s="14" t="n">
        <x:v>1</x:v>
      </x:c>
      <x:c r="G24" t="str">
        <x:v>4d ago</x:v>
      </x:c>
      <x:c r="H24" t="str">
        <x:v>Competitive</x:v>
      </x:c>
      <x:c r="I24" t="str">
        <x:v>Convoy</x:v>
      </x:c>
      <x:c r="J24" t="str">
        <x:v>Yggdrasill Path</x:v>
      </x:c>
      <x:c r="K24" t="str">
        <x:v>Scarlet Witch</x:v>
      </x:c>
      <x:c r="L24" t="str">
        <x:v>Loss</x:v>
      </x:c>
      <x:c r="M24" t="str"/>
      <x:c r="N24" t="n">
        <x:v>5</x:v>
      </x:c>
      <x:c r="O24" t="n">
        <x:v>3</x:v>
      </x:c>
      <x:c r="P24" t="str">
        <x:v>Grandmaster III</x:v>
      </x:c>
      <x:c r="Q24" t="n">
        <x:v>4533</x:v>
      </x:c>
      <x:c r="R24" s="14" t="n">
        <x:v>-19</x:v>
      </x:c>
      <x:c r="S24" t="n">
        <x:v>32</x:v>
      </x:c>
      <x:c r="T24" t="n">
        <x:v>21</x:v>
      </x:c>
      <x:c r="U24" t="n">
        <x:v>10</x:v>
      </x:c>
      <x:c r="V24" s="16" t="n">
        <x:v>2</x:v>
      </x:c>
      <x:c r="W24" t="str">
        <x:v>Parsed from Tracker.gg MHTML/PDF export; competitive rows only.</x:v>
      </x:c>
      <x:c r="X24" t="n">
        <x:f>IF(L24="Win",1,0)</x:f>
        <x:v>0</x:v>
      </x:c>
      <x:c r="Y24" s="14" t="n">
        <x:f>IF(L24="Loss",1,0)</x:f>
        <x:v>1</x:v>
      </x:c>
      <x:c r="Z24" t="n">
        <x:f>IF(L24="Draw/Unknown",1,0)</x:f>
        <x:v>0</x:v>
      </x:c>
      <x:c r="AA24" s="16" t="n">
        <x:f>IF(OR(N24="",O24=""),"",N24-O24)</x:f>
        <x:v>2</x:v>
      </x:c>
      <x:c r="AB24" s="16" t="n">
        <x:f>IF(T24=0,S24+U24,(S24+U24)/T24)</x:f>
        <x:v>2</x:v>
      </x:c>
      <x:c r="AC24" t="n">
        <x:f>S24+U24</x:f>
        <x:v>42</x:v>
      </x:c>
      <x:c r="AD24" t="n">
        <x:f>IF(T24=0,1,0)</x:f>
        <x:v>0</x:v>
      </x:c>
      <x:c r="AE24" t="str">
        <x:f>IF(R24&gt;0,"Gain",IF(R24&lt;0,"Loss","Neutral"))</x:f>
        <x:v>Loss</x:v>
      </x:c>
    </x:row>
    <x:row r="25">
      <x:c r="A25" t="n">
        <x:v>24</x:v>
      </x:c>
      <x:c r="B25" s="12" t="n">
        <x:v>46172</x:v>
      </x:c>
      <x:c r="C25" t="str">
        <x:v>May 30</x:v>
      </x:c>
      <x:c r="D25" t="n">
        <x:v>5</x:v>
      </x:c>
      <x:c r="E25" t="n">
        <x:v>3</x:v>
      </x:c>
      <x:c r="F25" s="14" t="n">
        <x:v>2</x:v>
      </x:c>
      <x:c r="G25" t="str">
        <x:v>5d ago</x:v>
      </x:c>
      <x:c r="H25" t="str">
        <x:v>Competitive</x:v>
      </x:c>
      <x:c r="I25" t="str">
        <x:v>Convergence</x:v>
      </x:c>
      <x:c r="J25" t="str">
        <x:v>Unknown / not captured</x:v>
      </x:c>
      <x:c r="K25" t="str">
        <x:v>The Thing</x:v>
      </x:c>
      <x:c r="L25" t="str">
        <x:v>Loss</x:v>
      </x:c>
      <x:c r="M25" t="str"/>
      <x:c r="N25" t="n">
        <x:v>2</x:v>
      </x:c>
      <x:c r="O25" t="n">
        <x:v>1</x:v>
      </x:c>
      <x:c r="P25" t="str">
        <x:v>Grandmaster III</x:v>
      </x:c>
      <x:c r="Q25" t="n">
        <x:v>4552</x:v>
      </x:c>
      <x:c r="R25" s="14" t="n">
        <x:v>-23</x:v>
      </x:c>
      <x:c r="S25" t="n">
        <x:v>15</x:v>
      </x:c>
      <x:c r="T25" t="n">
        <x:v>17</x:v>
      </x:c>
      <x:c r="U25" t="n">
        <x:v>5</x:v>
      </x:c>
      <x:c r="V25" s="16" t="n">
        <x:v>1.18</x:v>
      </x:c>
      <x:c r="W25" t="str">
        <x:v>Parsed from Tracker.gg MHTML/PDF export; competitive rows only.</x:v>
      </x:c>
      <x:c r="X25" t="n">
        <x:f>IF(L25="Win",1,0)</x:f>
        <x:v>0</x:v>
      </x:c>
      <x:c r="Y25" s="14" t="n">
        <x:f>IF(L25="Loss",1,0)</x:f>
        <x:v>1</x:v>
      </x:c>
      <x:c r="Z25" t="n">
        <x:f>IF(L25="Draw/Unknown",1,0)</x:f>
        <x:v>0</x:v>
      </x:c>
      <x:c r="AA25" s="16" t="n">
        <x:f>IF(OR(N25="",O25=""),"",N25-O25)</x:f>
        <x:v>1</x:v>
      </x:c>
      <x:c r="AB25" s="16" t="n">
        <x:f>IF(T25=0,S25+U25,(S25+U25)/T25)</x:f>
        <x:v>1.1764705882352942</x:v>
      </x:c>
      <x:c r="AC25" t="n">
        <x:f>S25+U25</x:f>
        <x:v>20</x:v>
      </x:c>
      <x:c r="AD25" t="n">
        <x:f>IF(T25=0,1,0)</x:f>
        <x:v>0</x:v>
      </x:c>
      <x:c r="AE25" t="str">
        <x:f>IF(R25&gt;0,"Gain",IF(R25&lt;0,"Loss","Neutral"))</x:f>
        <x:v>Loss</x:v>
      </x:c>
    </x:row>
    <x:row r="26">
      <x:c r="A26" t="n">
        <x:v>25</x:v>
      </x:c>
      <x:c r="B26" s="12" t="n">
        <x:v>46172</x:v>
      </x:c>
      <x:c r="C26" t="str">
        <x:v>May 30</x:v>
      </x:c>
      <x:c r="D26" t="n">
        <x:v>5</x:v>
      </x:c>
      <x:c r="E26" t="n">
        <x:v>3</x:v>
      </x:c>
      <x:c r="F26" s="14" t="n">
        <x:v>2</x:v>
      </x:c>
      <x:c r="G26" t="str">
        <x:v>5d ago</x:v>
      </x:c>
      <x:c r="H26" t="str">
        <x:v>Competitive</x:v>
      </x:c>
      <x:c r="I26" t="str">
        <x:v>Convergence</x:v>
      </x:c>
      <x:c r="J26" t="str">
        <x:v>Central Park</x:v>
      </x:c>
      <x:c r="K26" t="str">
        <x:v>Namor</x:v>
      </x:c>
      <x:c r="L26" t="str">
        <x:v>Loss</x:v>
      </x:c>
      <x:c r="M26" t="str">
        <x:v>SVP</x:v>
      </x:c>
      <x:c r="N26" t="n">
        <x:v>2</x:v>
      </x:c>
      <x:c r="O26" t="n">
        <x:v>3</x:v>
      </x:c>
      <x:c r="P26" t="str">
        <x:v>Grandmaster III</x:v>
      </x:c>
      <x:c r="Q26" t="n">
        <x:v>4575</x:v>
      </x:c>
      <x:c r="R26" s="14" t="n">
        <x:v>-18</x:v>
      </x:c>
      <x:c r="S26" t="n">
        <x:v>26</x:v>
      </x:c>
      <x:c r="T26" t="n">
        <x:v>11</x:v>
      </x:c>
      <x:c r="U26" t="n">
        <x:v>4</x:v>
      </x:c>
      <x:c r="V26" s="16" t="n">
        <x:v>2.73</x:v>
      </x:c>
      <x:c r="W26" t="str">
        <x:v>Parsed from Tracker.gg MHTML/PDF export; competitive rows only.</x:v>
      </x:c>
      <x:c r="X26" t="n">
        <x:f>IF(L26="Win",1,0)</x:f>
        <x:v>0</x:v>
      </x:c>
      <x:c r="Y26" s="14" t="n">
        <x:f>IF(L26="Loss",1,0)</x:f>
        <x:v>1</x:v>
      </x:c>
      <x:c r="Z26" t="n">
        <x:f>IF(L26="Draw/Unknown",1,0)</x:f>
        <x:v>0</x:v>
      </x:c>
      <x:c r="AA26" s="16" t="n">
        <x:f>IF(OR(N26="",O26=""),"",N26-O26)</x:f>
        <x:v>-1</x:v>
      </x:c>
      <x:c r="AB26" s="16" t="n">
        <x:f>IF(T26=0,S26+U26,(S26+U26)/T26)</x:f>
        <x:v>2.727272727272727</x:v>
      </x:c>
      <x:c r="AC26" t="n">
        <x:f>S26+U26</x:f>
        <x:v>30</x:v>
      </x:c>
      <x:c r="AD26" t="n">
        <x:f>IF(T26=0,1,0)</x:f>
        <x:v>0</x:v>
      </x:c>
      <x:c r="AE26" t="str">
        <x:f>IF(R26&gt;0,"Gain",IF(R26&lt;0,"Loss","Neutral"))</x:f>
        <x:v>Loss</x:v>
      </x:c>
    </x:row>
    <x:row r="27">
      <x:c r="A27" t="n">
        <x:v>26</x:v>
      </x:c>
      <x:c r="B27" s="12" t="n">
        <x:v>46172</x:v>
      </x:c>
      <x:c r="C27" t="str">
        <x:v>May 30</x:v>
      </x:c>
      <x:c r="D27" t="n">
        <x:v>5</x:v>
      </x:c>
      <x:c r="E27" t="n">
        <x:v>3</x:v>
      </x:c>
      <x:c r="F27" s="14" t="n">
        <x:v>2</x:v>
      </x:c>
      <x:c r="G27" t="str">
        <x:v>5d ago</x:v>
      </x:c>
      <x:c r="H27" t="str">
        <x:v>Competitive</x:v>
      </x:c>
      <x:c r="I27" t="str">
        <x:v>Domination</x:v>
      </x:c>
      <x:c r="J27" t="str">
        <x:v>Birnin T'Challa</x:v>
      </x:c>
      <x:c r="K27" t="str">
        <x:v>Captain America</x:v>
      </x:c>
      <x:c r="L27" t="str">
        <x:v>Win</x:v>
      </x:c>
      <x:c r="M27" t="str"/>
      <x:c r="N27" t="n">
        <x:v>2</x:v>
      </x:c>
      <x:c r="O27" t="n">
        <x:v>0</x:v>
      </x:c>
      <x:c r="P27" t="str">
        <x:v>Grandmaster III</x:v>
      </x:c>
      <x:c r="Q27" t="n">
        <x:v>4593</x:v>
      </x:c>
      <x:c r="R27" s="14" t="n">
        <x:v>20</x:v>
      </x:c>
      <x:c r="S27" t="n">
        <x:v>19</x:v>
      </x:c>
      <x:c r="T27" t="n">
        <x:v>7</x:v>
      </x:c>
      <x:c r="U27" t="n">
        <x:v>7</x:v>
      </x:c>
      <x:c r="V27" s="16" t="n">
        <x:v>3.71</x:v>
      </x:c>
      <x:c r="W27" t="str">
        <x:v>Parsed from Tracker.gg MHTML/PDF export; competitive rows only.</x:v>
      </x:c>
      <x:c r="X27" t="n">
        <x:f>IF(L27="Win",1,0)</x:f>
        <x:v>1</x:v>
      </x:c>
      <x:c r="Y27" s="14" t="n">
        <x:f>IF(L27="Loss",1,0)</x:f>
        <x:v>0</x:v>
      </x:c>
      <x:c r="Z27" t="n">
        <x:f>IF(L27="Draw/Unknown",1,0)</x:f>
        <x:v>0</x:v>
      </x:c>
      <x:c r="AA27" s="16" t="str">
        <x:f>IF(OR(N27="",O27=""),"",N27-O27)</x:f>
      </x:c>
      <x:c r="AB27" s="16" t="n">
        <x:f>IF(T27=0,S27+U27,(S27+U27)/T27)</x:f>
        <x:v>3.7142857142857144</x:v>
      </x:c>
      <x:c r="AC27" t="n">
        <x:f>S27+U27</x:f>
        <x:v>26</x:v>
      </x:c>
      <x:c r="AD27" t="n">
        <x:f>IF(T27=0,1,0)</x:f>
        <x:v>0</x:v>
      </x:c>
      <x:c r="AE27" t="str">
        <x:f>IF(R27&gt;0,"Gain",IF(R27&lt;0,"Loss","Neutral"))</x:f>
        <x:v>Gain</x:v>
      </x:c>
    </x:row>
    <x:row r="28">
      <x:c r="A28" t="n">
        <x:v>27</x:v>
      </x:c>
      <x:c r="B28" s="12" t="n">
        <x:v>46172</x:v>
      </x:c>
      <x:c r="C28" t="str">
        <x:v>May 30</x:v>
      </x:c>
      <x:c r="D28" t="n">
        <x:v>5</x:v>
      </x:c>
      <x:c r="E28" t="n">
        <x:v>3</x:v>
      </x:c>
      <x:c r="F28" s="14" t="n">
        <x:v>2</x:v>
      </x:c>
      <x:c r="G28" t="str">
        <x:v>5d ago</x:v>
      </x:c>
      <x:c r="H28" t="str">
        <x:v>Competitive</x:v>
      </x:c>
      <x:c r="I28" t="str">
        <x:v>Domination</x:v>
      </x:c>
      <x:c r="J28" t="str">
        <x:v>Celestial Husk</x:v>
      </x:c>
      <x:c r="K28" t="str">
        <x:v>Groot</x:v>
      </x:c>
      <x:c r="L28" t="str">
        <x:v>Win</x:v>
      </x:c>
      <x:c r="M28" t="str"/>
      <x:c r="N28" t="n">
        <x:v>2</x:v>
      </x:c>
      <x:c r="O28" t="n">
        <x:v>0</x:v>
      </x:c>
      <x:c r="P28" t="str">
        <x:v>Grandmaster III</x:v>
      </x:c>
      <x:c r="Q28" t="n">
        <x:v>4572</x:v>
      </x:c>
      <x:c r="R28" s="14" t="n">
        <x:v>18</x:v>
      </x:c>
      <x:c r="S28" t="n">
        <x:v>13</x:v>
      </x:c>
      <x:c r="T28" t="n">
        <x:v>3</x:v>
      </x:c>
      <x:c r="U28" t="n">
        <x:v>2</x:v>
      </x:c>
      <x:c r="V28" s="16" t="n">
        <x:v>5</x:v>
      </x:c>
      <x:c r="W28" t="str">
        <x:v>Parsed from Tracker.gg MHTML/PDF export; competitive rows only.</x:v>
      </x:c>
      <x:c r="X28" t="n">
        <x:f>IF(L28="Win",1,0)</x:f>
        <x:v>1</x:v>
      </x:c>
      <x:c r="Y28" s="14" t="n">
        <x:f>IF(L28="Loss",1,0)</x:f>
        <x:v>0</x:v>
      </x:c>
      <x:c r="Z28" t="n">
        <x:f>IF(L28="Draw/Unknown",1,0)</x:f>
        <x:v>0</x:v>
      </x:c>
      <x:c r="AA28" s="16" t="str">
        <x:f>IF(OR(N28="",O28=""),"",N28-O28)</x:f>
      </x:c>
      <x:c r="AB28" s="16" t="n">
        <x:f>IF(T28=0,S28+U28,(S28+U28)/T28)</x:f>
        <x:v>5</x:v>
      </x:c>
      <x:c r="AC28" t="n">
        <x:f>S28+U28</x:f>
        <x:v>15</x:v>
      </x:c>
      <x:c r="AD28" t="n">
        <x:f>IF(T28=0,1,0)</x:f>
        <x:v>0</x:v>
      </x:c>
      <x:c r="AE28" t="str">
        <x:f>IF(R28&gt;0,"Gain",IF(R28&lt;0,"Loss","Neutral"))</x:f>
        <x:v>Gain</x:v>
      </x:c>
    </x:row>
    <x:row r="29">
      <x:c r="A29" t="n">
        <x:v>28</x:v>
      </x:c>
      <x:c r="B29" s="12" t="n">
        <x:v>46172</x:v>
      </x:c>
      <x:c r="C29" t="str">
        <x:v>May 30</x:v>
      </x:c>
      <x:c r="D29" t="n">
        <x:v>5</x:v>
      </x:c>
      <x:c r="E29" t="n">
        <x:v>3</x:v>
      </x:c>
      <x:c r="F29" s="14" t="n">
        <x:v>2</x:v>
      </x:c>
      <x:c r="G29" t="str">
        <x:v>5d ago</x:v>
      </x:c>
      <x:c r="H29" t="str">
        <x:v>Competitive</x:v>
      </x:c>
      <x:c r="I29" t="str">
        <x:v>Convoy</x:v>
      </x:c>
      <x:c r="J29" t="str">
        <x:v>Yggdrasill Path</x:v>
      </x:c>
      <x:c r="K29" t="str">
        <x:v>Captain America</x:v>
      </x:c>
      <x:c r="L29" t="str">
        <x:v>Win</x:v>
      </x:c>
      <x:c r="M29" t="str"/>
      <x:c r="N29" t="n">
        <x:v>3</x:v>
      </x:c>
      <x:c r="O29" t="n">
        <x:v>1</x:v>
      </x:c>
      <x:c r="P29" t="str">
        <x:v>Grandmaster III</x:v>
      </x:c>
      <x:c r="Q29" t="n">
        <x:v>4553</x:v>
      </x:c>
      <x:c r="R29" s="14" t="n">
        <x:v>24</x:v>
      </x:c>
      <x:c r="S29" t="n">
        <x:v>20</x:v>
      </x:c>
      <x:c r="T29" t="n">
        <x:v>5</x:v>
      </x:c>
      <x:c r="U29" t="n">
        <x:v>3</x:v>
      </x:c>
      <x:c r="V29" s="16" t="n">
        <x:v>4.6</x:v>
      </x:c>
      <x:c r="W29" t="str">
        <x:v>Parsed from Tracker.gg MHTML/PDF export; competitive rows only.</x:v>
      </x:c>
      <x:c r="X29" t="n">
        <x:f>IF(L29="Win",1,0)</x:f>
        <x:v>1</x:v>
      </x:c>
      <x:c r="Y29" s="14" t="n">
        <x:f>IF(L29="Loss",1,0)</x:f>
        <x:v>0</x:v>
      </x:c>
      <x:c r="Z29" t="n">
        <x:f>IF(L29="Draw/Unknown",1,0)</x:f>
        <x:v>0</x:v>
      </x:c>
      <x:c r="AA29" s="16" t="n">
        <x:f>IF(OR(N29="",O29=""),"",N29-O29)</x:f>
        <x:v>2</x:v>
      </x:c>
      <x:c r="AB29" s="16" t="n">
        <x:f>IF(T29=0,S29+U29,(S29+U29)/T29)</x:f>
        <x:v>4.6</x:v>
      </x:c>
      <x:c r="AC29" t="n">
        <x:f>S29+U29</x:f>
        <x:v>23</x:v>
      </x:c>
      <x:c r="AD29" t="n">
        <x:f>IF(T29=0,1,0)</x:f>
        <x:v>0</x:v>
      </x:c>
      <x:c r="AE29" t="str">
        <x:f>IF(R29&gt;0,"Gain",IF(R29&lt;0,"Loss","Neutral"))</x:f>
        <x:v>Gain</x:v>
      </x:c>
    </x:row>
    <x:row r="30">
      <x:c r="A30" t="n">
        <x:v>29</x:v>
      </x:c>
      <x:c r="B30" s="12" t="n">
        <x:v>46171</x:v>
      </x:c>
      <x:c r="C30" t="str">
        <x:v>May 29</x:v>
      </x:c>
      <x:c r="D30" t="n">
        <x:v>22</x:v>
      </x:c>
      <x:c r="E30" t="n">
        <x:v>9</x:v>
      </x:c>
      <x:c r="F30" s="14" t="n">
        <x:v>12</x:v>
      </x:c>
      <x:c r="G30" t="str">
        <x:v>6d ago</x:v>
      </x:c>
      <x:c r="H30" t="str">
        <x:v>Competitive</x:v>
      </x:c>
      <x:c r="I30" t="str">
        <x:v>Convergence</x:v>
      </x:c>
      <x:c r="J30" t="str">
        <x:v>Symbiotic Surface</x:v>
      </x:c>
      <x:c r="K30" t="str">
        <x:v>Squirrel Girl</x:v>
      </x:c>
      <x:c r="L30" t="str">
        <x:v>Loss</x:v>
      </x:c>
      <x:c r="M30" t="str"/>
      <x:c r="N30" t="n">
        <x:v>4</x:v>
      </x:c>
      <x:c r="O30" t="n">
        <x:v>3</x:v>
      </x:c>
      <x:c r="P30" t="str">
        <x:v>Grandmaster III</x:v>
      </x:c>
      <x:c r="Q30" t="n">
        <x:v>4528</x:v>
      </x:c>
      <x:c r="R30" s="14" t="n">
        <x:v>-22</x:v>
      </x:c>
      <x:c r="S30" t="n">
        <x:v>34</x:v>
      </x:c>
      <x:c r="T30" t="n">
        <x:v>14</x:v>
      </x:c>
      <x:c r="U30" t="n">
        <x:v>17</x:v>
      </x:c>
      <x:c r="V30" s="16" t="n">
        <x:v>3.64</x:v>
      </x:c>
      <x:c r="W30" t="str">
        <x:v>Parsed from Tracker.gg MHTML/PDF export; competitive rows only.</x:v>
      </x:c>
      <x:c r="X30" t="n">
        <x:f>IF(L30="Win",1,0)</x:f>
        <x:v>0</x:v>
      </x:c>
      <x:c r="Y30" s="14" t="n">
        <x:f>IF(L30="Loss",1,0)</x:f>
        <x:v>1</x:v>
      </x:c>
      <x:c r="Z30" t="n">
        <x:f>IF(L30="Draw/Unknown",1,0)</x:f>
        <x:v>0</x:v>
      </x:c>
      <x:c r="AA30" s="16" t="n">
        <x:f>IF(OR(N30="",O30=""),"",N30-O30)</x:f>
        <x:v>1</x:v>
      </x:c>
      <x:c r="AB30" s="16" t="n">
        <x:f>IF(T30=0,S30+U30,(S30+U30)/T30)</x:f>
        <x:v>3.642857142857143</x:v>
      </x:c>
      <x:c r="AC30" t="n">
        <x:f>S30+U30</x:f>
        <x:v>51</x:v>
      </x:c>
      <x:c r="AD30" t="n">
        <x:f>IF(T30=0,1,0)</x:f>
        <x:v>0</x:v>
      </x:c>
      <x:c r="AE30" t="str">
        <x:f>IF(R30&gt;0,"Gain",IF(R30&lt;0,"Loss","Neutral"))</x:f>
        <x:v>Loss</x:v>
      </x:c>
    </x:row>
    <x:row r="31">
      <x:c r="A31" t="n">
        <x:v>30</x:v>
      </x:c>
      <x:c r="B31" s="12" t="n">
        <x:v>46171</x:v>
      </x:c>
      <x:c r="C31" t="str">
        <x:v>May 29</x:v>
      </x:c>
      <x:c r="D31" t="n">
        <x:v>22</x:v>
      </x:c>
      <x:c r="E31" t="n">
        <x:v>9</x:v>
      </x:c>
      <x:c r="F31" s="14" t="n">
        <x:v>12</x:v>
      </x:c>
      <x:c r="G31" t="str">
        <x:v>6d ago</x:v>
      </x:c>
      <x:c r="H31" t="str">
        <x:v>Competitive</x:v>
      </x:c>
      <x:c r="I31" t="str">
        <x:v>Convergence</x:v>
      </x:c>
      <x:c r="J31" t="str">
        <x:v>Central Park</x:v>
      </x:c>
      <x:c r="K31" t="str">
        <x:v>Rogue</x:v>
      </x:c>
      <x:c r="L31" t="str">
        <x:v>Loss</x:v>
      </x:c>
      <x:c r="M31" t="str"/>
      <x:c r="N31" t="n">
        <x:v>0</x:v>
      </x:c>
      <x:c r="O31" t="n">
        <x:v>1</x:v>
      </x:c>
      <x:c r="P31" t="str">
        <x:v>Grandmaster III</x:v>
      </x:c>
      <x:c r="Q31" t="n">
        <x:v>4549</x:v>
      </x:c>
      <x:c r="R31" s="14" t="n">
        <x:v>-24</x:v>
      </x:c>
      <x:c r="S31" t="n">
        <x:v>3</x:v>
      </x:c>
      <x:c r="T31" t="n">
        <x:v>5</x:v>
      </x:c>
      <x:c r="U31" t="n">
        <x:v>2</x:v>
      </x:c>
      <x:c r="V31" s="16" t="n">
        <x:v>1</x:v>
      </x:c>
      <x:c r="W31" t="str">
        <x:v>Parsed from Tracker.gg MHTML/PDF export; competitive rows only.</x:v>
      </x:c>
      <x:c r="X31" t="n">
        <x:f>IF(L31="Win",1,0)</x:f>
        <x:v>0</x:v>
      </x:c>
      <x:c r="Y31" s="14" t="n">
        <x:f>IF(L31="Loss",1,0)</x:f>
        <x:v>1</x:v>
      </x:c>
      <x:c r="Z31" t="n">
        <x:f>IF(L31="Draw/Unknown",1,0)</x:f>
        <x:v>0</x:v>
      </x:c>
      <x:c r="AA31" s="16" t="str">
        <x:f>IF(OR(N31="",O31=""),"",N31-O31)</x:f>
      </x:c>
      <x:c r="AB31" s="16" t="n">
        <x:f>IF(T31=0,S31+U31,(S31+U31)/T31)</x:f>
        <x:v>1</x:v>
      </x:c>
      <x:c r="AC31" t="n">
        <x:f>S31+U31</x:f>
        <x:v>5</x:v>
      </x:c>
      <x:c r="AD31" t="n">
        <x:f>IF(T31=0,1,0)</x:f>
        <x:v>0</x:v>
      </x:c>
      <x:c r="AE31" t="str">
        <x:f>IF(R31&gt;0,"Gain",IF(R31&lt;0,"Loss","Neutral"))</x:f>
        <x:v>Loss</x:v>
      </x:c>
    </x:row>
    <x:row r="32">
      <x:c r="A32" t="n">
        <x:v>31</x:v>
      </x:c>
      <x:c r="B32" s="12" t="n">
        <x:v>46171</x:v>
      </x:c>
      <x:c r="C32" t="str">
        <x:v>May 29</x:v>
      </x:c>
      <x:c r="D32" t="n">
        <x:v>22</x:v>
      </x:c>
      <x:c r="E32" t="n">
        <x:v>9</x:v>
      </x:c>
      <x:c r="F32" s="14" t="n">
        <x:v>12</x:v>
      </x:c>
      <x:c r="G32" t="str">
        <x:v>6d ago</x:v>
      </x:c>
      <x:c r="H32" t="str">
        <x:v>Competitive</x:v>
      </x:c>
      <x:c r="I32" t="str">
        <x:v>Convergence</x:v>
      </x:c>
      <x:c r="J32" t="str">
        <x:v>Unknown / not captured</x:v>
      </x:c>
      <x:c r="K32" t="str">
        <x:v>The Thing</x:v>
      </x:c>
      <x:c r="L32" t="str">
        <x:v>Win</x:v>
      </x:c>
      <x:c r="M32" t="str"/>
      <x:c r="N32" t="n">
        <x:v>3</x:v>
      </x:c>
      <x:c r="O32" t="n">
        <x:v>1</x:v>
      </x:c>
      <x:c r="P32" t="str">
        <x:v>Grandmaster III</x:v>
      </x:c>
      <x:c r="Q32" t="n">
        <x:v>4573</x:v>
      </x:c>
      <x:c r="R32" s="14" t="n">
        <x:v>22</x:v>
      </x:c>
      <x:c r="S32" t="n">
        <x:v>26</x:v>
      </x:c>
      <x:c r="T32" t="n">
        <x:v>9</x:v>
      </x:c>
      <x:c r="U32" t="n">
        <x:v>9</x:v>
      </x:c>
      <x:c r="V32" s="16" t="n">
        <x:v>3.89</x:v>
      </x:c>
      <x:c r="W32" t="str">
        <x:v>Parsed from Tracker.gg MHTML/PDF export; competitive rows only.</x:v>
      </x:c>
      <x:c r="X32" t="n">
        <x:f>IF(L32="Win",1,0)</x:f>
        <x:v>1</x:v>
      </x:c>
      <x:c r="Y32" s="14" t="n">
        <x:f>IF(L32="Loss",1,0)</x:f>
        <x:v>0</x:v>
      </x:c>
      <x:c r="Z32" t="n">
        <x:f>IF(L32="Draw/Unknown",1,0)</x:f>
        <x:v>0</x:v>
      </x:c>
      <x:c r="AA32" s="16" t="n">
        <x:f>IF(OR(N32="",O32=""),"",N32-O32)</x:f>
        <x:v>2</x:v>
      </x:c>
      <x:c r="AB32" s="16" t="n">
        <x:f>IF(T32=0,S32+U32,(S32+U32)/T32)</x:f>
        <x:v>3.888888888888889</x:v>
      </x:c>
      <x:c r="AC32" t="n">
        <x:f>S32+U32</x:f>
        <x:v>35</x:v>
      </x:c>
      <x:c r="AD32" t="n">
        <x:f>IF(T32=0,1,0)</x:f>
        <x:v>0</x:v>
      </x:c>
      <x:c r="AE32" t="str">
        <x:f>IF(R32&gt;0,"Gain",IF(R32&lt;0,"Loss","Neutral"))</x:f>
        <x:v>Gain</x:v>
      </x:c>
    </x:row>
    <x:row r="33">
      <x:c r="A33" t="n">
        <x:v>32</x:v>
      </x:c>
      <x:c r="B33" s="12" t="n">
        <x:v>46171</x:v>
      </x:c>
      <x:c r="C33" t="str">
        <x:v>May 29</x:v>
      </x:c>
      <x:c r="D33" t="n">
        <x:v>22</x:v>
      </x:c>
      <x:c r="E33" t="n">
        <x:v>9</x:v>
      </x:c>
      <x:c r="F33" s="14" t="n">
        <x:v>12</x:v>
      </x:c>
      <x:c r="G33" t="str">
        <x:v>6d ago</x:v>
      </x:c>
      <x:c r="H33" t="str">
        <x:v>Competitive</x:v>
      </x:c>
      <x:c r="I33" t="str">
        <x:v>Convoy</x:v>
      </x:c>
      <x:c r="J33" t="str">
        <x:v>Midtown</x:v>
      </x:c>
      <x:c r="K33" t="str">
        <x:v>Captain America</x:v>
      </x:c>
      <x:c r="L33" t="str">
        <x:v>Loss</x:v>
      </x:c>
      <x:c r="M33" t="str">
        <x:v>SVP</x:v>
      </x:c>
      <x:c r="N33" t="n">
        <x:v>3</x:v>
      </x:c>
      <x:c r="O33" t="n">
        <x:v>4</x:v>
      </x:c>
      <x:c r="P33" t="str">
        <x:v>Grandmaster III</x:v>
      </x:c>
      <x:c r="Q33" t="n">
        <x:v>4550</x:v>
      </x:c>
      <x:c r="R33" s="14" t="n">
        <x:v>-19</x:v>
      </x:c>
      <x:c r="S33" t="n">
        <x:v>29</x:v>
      </x:c>
      <x:c r="T33" t="n">
        <x:v>17</x:v>
      </x:c>
      <x:c r="U33" t="n">
        <x:v>0</x:v>
      </x:c>
      <x:c r="V33" s="16" t="n">
        <x:v>1.71</x:v>
      </x:c>
      <x:c r="W33" t="str">
        <x:v>Parsed from Tracker.gg MHTML/PDF export; competitive rows only.</x:v>
      </x:c>
      <x:c r="X33" t="n">
        <x:f>IF(L33="Win",1,0)</x:f>
        <x:v>0</x:v>
      </x:c>
      <x:c r="Y33" s="14" t="n">
        <x:f>IF(L33="Loss",1,0)</x:f>
        <x:v>1</x:v>
      </x:c>
      <x:c r="Z33" t="n">
        <x:f>IF(L33="Draw/Unknown",1,0)</x:f>
        <x:v>0</x:v>
      </x:c>
      <x:c r="AA33" s="16" t="n">
        <x:f>IF(OR(N33="",O33=""),"",N33-O33)</x:f>
        <x:v>-1</x:v>
      </x:c>
      <x:c r="AB33" s="16" t="n">
        <x:f>IF(T33=0,S33+U33,(S33+U33)/T33)</x:f>
        <x:v>1.7058823529411764</x:v>
      </x:c>
      <x:c r="AC33" t="n">
        <x:f>S33+U33</x:f>
        <x:v>29</x:v>
      </x:c>
      <x:c r="AD33" t="n">
        <x:f>IF(T33=0,1,0)</x:f>
        <x:v>0</x:v>
      </x:c>
      <x:c r="AE33" t="str">
        <x:f>IF(R33&gt;0,"Gain",IF(R33&lt;0,"Loss","Neutral"))</x:f>
        <x:v>Loss</x:v>
      </x:c>
    </x:row>
    <x:row r="34">
      <x:c r="A34" t="n">
        <x:v>33</x:v>
      </x:c>
      <x:c r="B34" s="12" t="n">
        <x:v>46171</x:v>
      </x:c>
      <x:c r="C34" t="str">
        <x:v>May 29</x:v>
      </x:c>
      <x:c r="D34" t="n">
        <x:v>22</x:v>
      </x:c>
      <x:c r="E34" t="n">
        <x:v>9</x:v>
      </x:c>
      <x:c r="F34" s="14" t="n">
        <x:v>12</x:v>
      </x:c>
      <x:c r="G34" t="str">
        <x:v>6d ago</x:v>
      </x:c>
      <x:c r="H34" t="str">
        <x:v>Competitive</x:v>
      </x:c>
      <x:c r="I34" t="str">
        <x:v>Convoy</x:v>
      </x:c>
      <x:c r="J34" t="str">
        <x:v>Yggdrasill Path</x:v>
      </x:c>
      <x:c r="K34" t="str">
        <x:v>Squirrel Girl</x:v>
      </x:c>
      <x:c r="L34" t="str">
        <x:v>Loss</x:v>
      </x:c>
      <x:c r="M34" t="str"/>
      <x:c r="N34" t="n">
        <x:v>3</x:v>
      </x:c>
      <x:c r="O34" t="n">
        <x:v>0</x:v>
      </x:c>
      <x:c r="P34" t="str">
        <x:v>Grandmaster III</x:v>
      </x:c>
      <x:c r="Q34" t="n">
        <x:v>4569</x:v>
      </x:c>
      <x:c r="R34" s="14" t="n">
        <x:v>-23</x:v>
      </x:c>
      <x:c r="S34" t="n">
        <x:v>6</x:v>
      </x:c>
      <x:c r="T34" t="n">
        <x:v>10</x:v>
      </x:c>
      <x:c r="U34" t="n">
        <x:v>4</x:v>
      </x:c>
      <x:c r="V34" s="16" t="n">
        <x:v>1</x:v>
      </x:c>
      <x:c r="W34" t="str">
        <x:v>Parsed from Tracker.gg MHTML/PDF export; competitive rows only.</x:v>
      </x:c>
      <x:c r="X34" t="n">
        <x:f>IF(L34="Win",1,0)</x:f>
        <x:v>0</x:v>
      </x:c>
      <x:c r="Y34" s="14" t="n">
        <x:f>IF(L34="Loss",1,0)</x:f>
        <x:v>1</x:v>
      </x:c>
      <x:c r="Z34" t="n">
        <x:f>IF(L34="Draw/Unknown",1,0)</x:f>
        <x:v>0</x:v>
      </x:c>
      <x:c r="AA34" s="16" t="str">
        <x:f>IF(OR(N34="",O34=""),"",N34-O34)</x:f>
      </x:c>
      <x:c r="AB34" s="16" t="n">
        <x:f>IF(T34=0,S34+U34,(S34+U34)/T34)</x:f>
        <x:v>1</x:v>
      </x:c>
      <x:c r="AC34" t="n">
        <x:f>S34+U34</x:f>
        <x:v>10</x:v>
      </x:c>
      <x:c r="AD34" t="n">
        <x:f>IF(T34=0,1,0)</x:f>
        <x:v>0</x:v>
      </x:c>
      <x:c r="AE34" t="str">
        <x:f>IF(R34&gt;0,"Gain",IF(R34&lt;0,"Loss","Neutral"))</x:f>
        <x:v>Loss</x:v>
      </x:c>
    </x:row>
    <x:row r="35">
      <x:c r="A35" t="n">
        <x:v>34</x:v>
      </x:c>
      <x:c r="B35" s="12" t="n">
        <x:v>46171</x:v>
      </x:c>
      <x:c r="C35" t="str">
        <x:v>May 29</x:v>
      </x:c>
      <x:c r="D35" t="n">
        <x:v>22</x:v>
      </x:c>
      <x:c r="E35" t="n">
        <x:v>9</x:v>
      </x:c>
      <x:c r="F35" s="14" t="n">
        <x:v>12</x:v>
      </x:c>
      <x:c r="G35" t="str">
        <x:v>6d ago</x:v>
      </x:c>
      <x:c r="H35" t="str">
        <x:v>Competitive</x:v>
      </x:c>
      <x:c r="I35" t="str">
        <x:v>Convergence</x:v>
      </x:c>
      <x:c r="J35" t="str">
        <x:v>Heart Of Heaven</x:v>
      </x:c>
      <x:c r="K35" t="str">
        <x:v>Squirrel Girl</x:v>
      </x:c>
      <x:c r="L35" t="str">
        <x:v>Win</x:v>
      </x:c>
      <x:c r="M35" t="str"/>
      <x:c r="N35" t="n">
        <x:v>3</x:v>
      </x:c>
      <x:c r="O35" t="n">
        <x:v>2</x:v>
      </x:c>
      <x:c r="P35" t="str">
        <x:v>Grandmaster III</x:v>
      </x:c>
      <x:c r="Q35" t="n">
        <x:v>4592</x:v>
      </x:c>
      <x:c r="R35" s="14" t="n">
        <x:v>19</x:v>
      </x:c>
      <x:c r="S35" t="n">
        <x:v>32</x:v>
      </x:c>
      <x:c r="T35" t="n">
        <x:v>16</x:v>
      </x:c>
      <x:c r="U35" t="n">
        <x:v>7</x:v>
      </x:c>
      <x:c r="V35" s="16" t="n">
        <x:v>2.44</x:v>
      </x:c>
      <x:c r="W35" t="str">
        <x:v>Parsed from Tracker.gg MHTML/PDF export; competitive rows only.</x:v>
      </x:c>
      <x:c r="X35" t="n">
        <x:f>IF(L35="Win",1,0)</x:f>
        <x:v>1</x:v>
      </x:c>
      <x:c r="Y35" s="14" t="n">
        <x:f>IF(L35="Loss",1,0)</x:f>
        <x:v>0</x:v>
      </x:c>
      <x:c r="Z35" t="n">
        <x:f>IF(L35="Draw/Unknown",1,0)</x:f>
        <x:v>0</x:v>
      </x:c>
      <x:c r="AA35" s="16" t="n">
        <x:f>IF(OR(N35="",O35=""),"",N35-O35)</x:f>
        <x:v>1</x:v>
      </x:c>
      <x:c r="AB35" s="16" t="n">
        <x:f>IF(T35=0,S35+U35,(S35+U35)/T35)</x:f>
        <x:v>2.4375</x:v>
      </x:c>
      <x:c r="AC35" t="n">
        <x:f>S35+U35</x:f>
        <x:v>39</x:v>
      </x:c>
      <x:c r="AD35" t="n">
        <x:f>IF(T35=0,1,0)</x:f>
        <x:v>0</x:v>
      </x:c>
      <x:c r="AE35" t="str">
        <x:f>IF(R35&gt;0,"Gain",IF(R35&lt;0,"Loss","Neutral"))</x:f>
        <x:v>Gain</x:v>
      </x:c>
    </x:row>
    <x:row r="36">
      <x:c r="A36" t="n">
        <x:v>35</x:v>
      </x:c>
      <x:c r="B36" s="12" t="n">
        <x:v>46171</x:v>
      </x:c>
      <x:c r="C36" t="str">
        <x:v>May 29</x:v>
      </x:c>
      <x:c r="D36" t="n">
        <x:v>22</x:v>
      </x:c>
      <x:c r="E36" t="n">
        <x:v>9</x:v>
      </x:c>
      <x:c r="F36" s="14" t="n">
        <x:v>12</x:v>
      </x:c>
      <x:c r="G36" t="str">
        <x:v>6d ago</x:v>
      </x:c>
      <x:c r="H36" t="str">
        <x:v>Competitive</x:v>
      </x:c>
      <x:c r="I36" t="str">
        <x:v>Convoy</x:v>
      </x:c>
      <x:c r="J36" t="str">
        <x:v>Arakko</x:v>
      </x:c>
      <x:c r="K36" t="str">
        <x:v>Storm</x:v>
      </x:c>
      <x:c r="L36" t="str">
        <x:v>Win</x:v>
      </x:c>
      <x:c r="M36" t="str">
        <x:v>MVP</x:v>
      </x:c>
      <x:c r="N36" t="n">
        <x:v>1</x:v>
      </x:c>
      <x:c r="O36" t="n">
        <x:v>2</x:v>
      </x:c>
      <x:c r="P36" t="str">
        <x:v>Grandmaster III</x:v>
      </x:c>
      <x:c r="Q36" t="n">
        <x:v>4573</x:v>
      </x:c>
      <x:c r="R36" s="14" t="n">
        <x:v>21</x:v>
      </x:c>
      <x:c r="S36" t="n">
        <x:v>39</x:v>
      </x:c>
      <x:c r="T36" t="n">
        <x:v>8</x:v>
      </x:c>
      <x:c r="U36" t="n">
        <x:v>34</x:v>
      </x:c>
      <x:c r="V36" s="16" t="n">
        <x:v>9.12</x:v>
      </x:c>
      <x:c r="W36" t="str">
        <x:v>Parsed from Tracker.gg MHTML/PDF export; competitive rows only.</x:v>
      </x:c>
      <x:c r="X36" t="n">
        <x:f>IF(L36="Win",1,0)</x:f>
        <x:v>1</x:v>
      </x:c>
      <x:c r="Y36" s="14" t="n">
        <x:f>IF(L36="Loss",1,0)</x:f>
        <x:v>0</x:v>
      </x:c>
      <x:c r="Z36" t="n">
        <x:f>IF(L36="Draw/Unknown",1,0)</x:f>
        <x:v>0</x:v>
      </x:c>
      <x:c r="AA36" s="16" t="n">
        <x:f>IF(OR(N36="",O36=""),"",N36-O36)</x:f>
        <x:v>-1</x:v>
      </x:c>
      <x:c r="AB36" s="16" t="n">
        <x:f>IF(T36=0,S36+U36,(S36+U36)/T36)</x:f>
        <x:v>9.125</x:v>
      </x:c>
      <x:c r="AC36" t="n">
        <x:f>S36+U36</x:f>
        <x:v>73</x:v>
      </x:c>
      <x:c r="AD36" t="n">
        <x:f>IF(T36=0,1,0)</x:f>
        <x:v>0</x:v>
      </x:c>
      <x:c r="AE36" t="str">
        <x:f>IF(R36&gt;0,"Gain",IF(R36&lt;0,"Loss","Neutral"))</x:f>
        <x:v>Gain</x:v>
      </x:c>
    </x:row>
    <x:row r="37">
      <x:c r="A37" t="n">
        <x:v>36</x:v>
      </x:c>
      <x:c r="B37" s="12" t="n">
        <x:v>46170</x:v>
      </x:c>
      <x:c r="C37" t="str">
        <x:v>May 28</x:v>
      </x:c>
      <x:c r="D37" t="n">
        <x:v>15</x:v>
      </x:c>
      <x:c r="E37" t="n">
        <x:v>4</x:v>
      </x:c>
      <x:c r="F37" s="14" t="n">
        <x:v>9</x:v>
      </x:c>
      <x:c r="G37" t="str">
        <x:v>6d ago</x:v>
      </x:c>
      <x:c r="H37" t="str">
        <x:v>Competitive</x:v>
      </x:c>
      <x:c r="I37" t="str">
        <x:v>Domination</x:v>
      </x:c>
      <x:c r="J37" t="str">
        <x:v>Hell's Heaven</x:v>
      </x:c>
      <x:c r="K37" t="str">
        <x:v>Peni Parker</x:v>
      </x:c>
      <x:c r="L37" t="str">
        <x:v>Loss</x:v>
      </x:c>
      <x:c r="M37" t="str"/>
      <x:c r="N37" t="n">
        <x:v>2</x:v>
      </x:c>
      <x:c r="O37" t="n">
        <x:v>1</x:v>
      </x:c>
      <x:c r="P37" t="str">
        <x:v>Grandmaster III</x:v>
      </x:c>
      <x:c r="Q37" t="n">
        <x:v>4551</x:v>
      </x:c>
      <x:c r="R37" s="14" t="n">
        <x:v>-23</x:v>
      </x:c>
      <x:c r="S37" t="n">
        <x:v>14</x:v>
      </x:c>
      <x:c r="T37" t="n">
        <x:v>9</x:v>
      </x:c>
      <x:c r="U37" t="n">
        <x:v>15</x:v>
      </x:c>
      <x:c r="V37" s="16" t="n">
        <x:v>3.22</x:v>
      </x:c>
      <x:c r="W37" t="str">
        <x:v>Parsed from Tracker.gg MHTML/PDF export; competitive rows only.</x:v>
      </x:c>
      <x:c r="X37" t="n">
        <x:f>IF(L37="Win",1,0)</x:f>
        <x:v>0</x:v>
      </x:c>
      <x:c r="Y37" s="14" t="n">
        <x:f>IF(L37="Loss",1,0)</x:f>
        <x:v>1</x:v>
      </x:c>
      <x:c r="Z37" t="n">
        <x:f>IF(L37="Draw/Unknown",1,0)</x:f>
        <x:v>0</x:v>
      </x:c>
      <x:c r="AA37" s="16" t="n">
        <x:f>IF(OR(N37="",O37=""),"",N37-O37)</x:f>
        <x:v>1</x:v>
      </x:c>
      <x:c r="AB37" s="16" t="n">
        <x:f>IF(T37=0,S37+U37,(S37+U37)/T37)</x:f>
        <x:v>3.2222222222222223</x:v>
      </x:c>
      <x:c r="AC37" t="n">
        <x:f>S37+U37</x:f>
        <x:v>29</x:v>
      </x:c>
      <x:c r="AD37" t="n">
        <x:f>IF(T37=0,1,0)</x:f>
        <x:v>0</x:v>
      </x:c>
      <x:c r="AE37" t="str">
        <x:f>IF(R37&gt;0,"Gain",IF(R37&lt;0,"Loss","Neutral"))</x:f>
        <x:v>Loss</x:v>
      </x:c>
    </x:row>
    <x:row r="38">
      <x:c r="A38" t="n">
        <x:v>37</x:v>
      </x:c>
      <x:c r="B38" s="12" t="n">
        <x:v>46170</x:v>
      </x:c>
      <x:c r="C38" t="str">
        <x:v>May 28</x:v>
      </x:c>
      <x:c r="D38" t="n">
        <x:v>15</x:v>
      </x:c>
      <x:c r="E38" t="n">
        <x:v>4</x:v>
      </x:c>
      <x:c r="F38" s="14" t="n">
        <x:v>9</x:v>
      </x:c>
      <x:c r="G38" t="str">
        <x:v>6d ago</x:v>
      </x:c>
      <x:c r="H38" t="str">
        <x:v>Competitive</x:v>
      </x:c>
      <x:c r="I38" t="str">
        <x:v>Convoy</x:v>
      </x:c>
      <x:c r="J38" t="str">
        <x:v>Museum of Contemplation</x:v>
      </x:c>
      <x:c r="K38" t="str">
        <x:v>Peni Parker</x:v>
      </x:c>
      <x:c r="L38" t="str">
        <x:v>Win</x:v>
      </x:c>
      <x:c r="M38" t="str"/>
      <x:c r="N38" t="n">
        <x:v>2</x:v>
      </x:c>
      <x:c r="O38" t="n">
        <x:v>1</x:v>
      </x:c>
      <x:c r="P38" t="str">
        <x:v>Grandmaster III</x:v>
      </x:c>
      <x:c r="Q38" t="n">
        <x:v>4573</x:v>
      </x:c>
      <x:c r="R38" s="14" t="n">
        <x:v>21</x:v>
      </x:c>
      <x:c r="S38" t="n">
        <x:v>20</x:v>
      </x:c>
      <x:c r="T38" t="n">
        <x:v>9</x:v>
      </x:c>
      <x:c r="U38" t="n">
        <x:v>24</x:v>
      </x:c>
      <x:c r="V38" s="16" t="n">
        <x:v>4.89</x:v>
      </x:c>
      <x:c r="W38" t="str">
        <x:v>Parsed from Tracker.gg MHTML/PDF export; competitive rows only.</x:v>
      </x:c>
      <x:c r="X38" t="n">
        <x:f>IF(L38="Win",1,0)</x:f>
        <x:v>1</x:v>
      </x:c>
      <x:c r="Y38" s="14" t="n">
        <x:f>IF(L38="Loss",1,0)</x:f>
        <x:v>0</x:v>
      </x:c>
      <x:c r="Z38" t="n">
        <x:f>IF(L38="Draw/Unknown",1,0)</x:f>
        <x:v>0</x:v>
      </x:c>
      <x:c r="AA38" s="16" t="n">
        <x:f>IF(OR(N38="",O38=""),"",N38-O38)</x:f>
        <x:v>1</x:v>
      </x:c>
      <x:c r="AB38" s="16" t="n">
        <x:f>IF(T38=0,S38+U38,(S38+U38)/T38)</x:f>
        <x:v>4.888888888888889</x:v>
      </x:c>
      <x:c r="AC38" t="n">
        <x:f>S38+U38</x:f>
        <x:v>44</x:v>
      </x:c>
      <x:c r="AD38" t="n">
        <x:f>IF(T38=0,1,0)</x:f>
        <x:v>0</x:v>
      </x:c>
      <x:c r="AE38" t="str">
        <x:f>IF(R38&gt;0,"Gain",IF(R38&lt;0,"Loss","Neutral"))</x:f>
        <x:v>Gain</x:v>
      </x:c>
    </x:row>
    <x:row r="39">
      <x:c r="A39" t="n">
        <x:v>38</x:v>
      </x:c>
      <x:c r="B39" s="12" t="n">
        <x:v>46170</x:v>
      </x:c>
      <x:c r="C39" t="str">
        <x:v>May 28</x:v>
      </x:c>
      <x:c r="D39" t="n">
        <x:v>15</x:v>
      </x:c>
      <x:c r="E39" t="n">
        <x:v>4</x:v>
      </x:c>
      <x:c r="F39" s="14" t="n">
        <x:v>9</x:v>
      </x:c>
      <x:c r="G39" t="str">
        <x:v>6d ago</x:v>
      </x:c>
      <x:c r="H39" t="str">
        <x:v>Competitive</x:v>
      </x:c>
      <x:c r="I39" t="str">
        <x:v>Convergence</x:v>
      </x:c>
      <x:c r="J39" t="str">
        <x:v>Unknown / not captured</x:v>
      </x:c>
      <x:c r="K39" t="str">
        <x:v>Captain America</x:v>
      </x:c>
      <x:c r="L39" t="str">
        <x:v>Win</x:v>
      </x:c>
      <x:c r="M39" t="str"/>
      <x:c r="N39" t="n">
        <x:v>2</x:v>
      </x:c>
      <x:c r="O39" t="n">
        <x:v>1</x:v>
      </x:c>
      <x:c r="P39" t="str">
        <x:v>Grandmaster III</x:v>
      </x:c>
      <x:c r="Q39" t="n">
        <x:v>4552</x:v>
      </x:c>
      <x:c r="R39" s="14" t="n">
        <x:v>20</x:v>
      </x:c>
      <x:c r="S39" t="n">
        <x:v>16</x:v>
      </x:c>
      <x:c r="T39" t="n">
        <x:v>9</x:v>
      </x:c>
      <x:c r="U39" t="n">
        <x:v>3</x:v>
      </x:c>
      <x:c r="V39" s="16" t="n">
        <x:v>2.11</x:v>
      </x:c>
      <x:c r="W39" t="str">
        <x:v>Parsed from Tracker.gg MHTML/PDF export; competitive rows only.</x:v>
      </x:c>
      <x:c r="X39" t="n">
        <x:f>IF(L39="Win",1,0)</x:f>
        <x:v>1</x:v>
      </x:c>
      <x:c r="Y39" s="14" t="n">
        <x:f>IF(L39="Loss",1,0)</x:f>
        <x:v>0</x:v>
      </x:c>
      <x:c r="Z39" t="n">
        <x:f>IF(L39="Draw/Unknown",1,0)</x:f>
        <x:v>0</x:v>
      </x:c>
      <x:c r="AA39" s="16" t="n">
        <x:f>IF(OR(N39="",O39=""),"",N39-O39)</x:f>
        <x:v>1</x:v>
      </x:c>
      <x:c r="AB39" s="16" t="n">
        <x:f>IF(T39=0,S39+U39,(S39+U39)/T39)</x:f>
        <x:v>2.111111111111111</x:v>
      </x:c>
      <x:c r="AC39" t="n">
        <x:f>S39+U39</x:f>
        <x:v>19</x:v>
      </x:c>
      <x:c r="AD39" t="n">
        <x:f>IF(T39=0,1,0)</x:f>
        <x:v>0</x:v>
      </x:c>
      <x:c r="AE39" t="str">
        <x:f>IF(R39&gt;0,"Gain",IF(R39&lt;0,"Loss","Neutral"))</x:f>
        <x:v>Gain</x:v>
      </x:c>
    </x:row>
    <x:row r="40">
      <x:c r="A40" t="n">
        <x:v>39</x:v>
      </x:c>
      <x:c r="B40" s="12" t="n">
        <x:v>46170</x:v>
      </x:c>
      <x:c r="C40" t="str">
        <x:v>May 28</x:v>
      </x:c>
      <x:c r="D40" t="n">
        <x:v>15</x:v>
      </x:c>
      <x:c r="E40" t="n">
        <x:v>4</x:v>
      </x:c>
      <x:c r="F40" s="14" t="n">
        <x:v>9</x:v>
      </x:c>
      <x:c r="G40" t="str">
        <x:v>6d ago</x:v>
      </x:c>
      <x:c r="H40" t="str">
        <x:v>Competitive</x:v>
      </x:c>
      <x:c r="I40" t="str">
        <x:v>Convoy</x:v>
      </x:c>
      <x:c r="J40" t="str">
        <x:v>Spider-Islands</x:v>
      </x:c>
      <x:c r="K40" t="str">
        <x:v>Scarlet Witch</x:v>
      </x:c>
      <x:c r="L40" t="str">
        <x:v>Loss</x:v>
      </x:c>
      <x:c r="M40" t="str"/>
      <x:c r="N40" t="n">
        <x:v>3</x:v>
      </x:c>
      <x:c r="O40" t="n">
        <x:v>2</x:v>
      </x:c>
      <x:c r="P40" t="str">
        <x:v>Grandmaster III</x:v>
      </x:c>
      <x:c r="Q40" t="n">
        <x:v>4531</x:v>
      </x:c>
      <x:c r="R40" s="14" t="n">
        <x:v>-22</x:v>
      </x:c>
      <x:c r="S40" t="n">
        <x:v>21</x:v>
      </x:c>
      <x:c r="T40" t="n">
        <x:v>17</x:v>
      </x:c>
      <x:c r="U40" t="n">
        <x:v>8</x:v>
      </x:c>
      <x:c r="V40" s="16" t="n">
        <x:v>1.71</x:v>
      </x:c>
      <x:c r="W40" t="str">
        <x:v>Parsed from Tracker.gg MHTML/PDF export; competitive rows only.</x:v>
      </x:c>
      <x:c r="X40" t="n">
        <x:f>IF(L40="Win",1,0)</x:f>
        <x:v>0</x:v>
      </x:c>
      <x:c r="Y40" s="14" t="n">
        <x:f>IF(L40="Loss",1,0)</x:f>
        <x:v>1</x:v>
      </x:c>
      <x:c r="Z40" t="n">
        <x:f>IF(L40="Draw/Unknown",1,0)</x:f>
        <x:v>0</x:v>
      </x:c>
      <x:c r="AA40" s="16" t="n">
        <x:f>IF(OR(N40="",O40=""),"",N40-O40)</x:f>
        <x:v>1</x:v>
      </x:c>
      <x:c r="AB40" s="16" t="n">
        <x:f>IF(T40=0,S40+U40,(S40+U40)/T40)</x:f>
        <x:v>1.7058823529411764</x:v>
      </x:c>
      <x:c r="AC40" t="n">
        <x:f>S40+U40</x:f>
        <x:v>29</x:v>
      </x:c>
      <x:c r="AD40" t="n">
        <x:f>IF(T40=0,1,0)</x:f>
        <x:v>0</x:v>
      </x:c>
      <x:c r="AE40" t="str">
        <x:f>IF(R40&gt;0,"Gain",IF(R40&lt;0,"Loss","Neutral"))</x:f>
        <x:v>Loss</x:v>
      </x:c>
    </x:row>
    <x:row r="41">
      <x:c r="A41" t="n">
        <x:v>40</x:v>
      </x:c>
      <x:c r="B41" s="12" t="n">
        <x:v>46170</x:v>
      </x:c>
      <x:c r="C41" t="str">
        <x:v>May 28</x:v>
      </x:c>
      <x:c r="D41" t="n">
        <x:v>15</x:v>
      </x:c>
      <x:c r="E41" t="n">
        <x:v>4</x:v>
      </x:c>
      <x:c r="F41" s="14" t="n">
        <x:v>9</x:v>
      </x:c>
      <x:c r="G41" t="str">
        <x:v>6d ago</x:v>
      </x:c>
      <x:c r="H41" t="str">
        <x:v>Competitive</x:v>
      </x:c>
      <x:c r="I41" t="str">
        <x:v>Domination</x:v>
      </x:c>
      <x:c r="J41" t="str">
        <x:v>Krakoa</x:v>
      </x:c>
      <x:c r="K41" t="str">
        <x:v>Cloak &amp; Dagger</x:v>
      </x:c>
      <x:c r="L41" t="str">
        <x:v>Loss</x:v>
      </x:c>
      <x:c r="M41" t="str"/>
      <x:c r="N41" t="n">
        <x:v>2</x:v>
      </x:c>
      <x:c r="O41" t="n">
        <x:v>0</x:v>
      </x:c>
      <x:c r="P41" t="str">
        <x:v>Grandmaster III</x:v>
      </x:c>
      <x:c r="Q41" t="n">
        <x:v>4553</x:v>
      </x:c>
      <x:c r="R41" s="14" t="n">
        <x:v>-23</x:v>
      </x:c>
      <x:c r="S41" t="n">
        <x:v>3</x:v>
      </x:c>
      <x:c r="T41" t="n">
        <x:v>6</x:v>
      </x:c>
      <x:c r="U41" t="n">
        <x:v>6</x:v>
      </x:c>
      <x:c r="V41" s="16" t="n">
        <x:v>1.5</x:v>
      </x:c>
      <x:c r="W41" t="str">
        <x:v>Parsed from Tracker.gg MHTML/PDF export; competitive rows only.</x:v>
      </x:c>
      <x:c r="X41" t="n">
        <x:f>IF(L41="Win",1,0)</x:f>
        <x:v>0</x:v>
      </x:c>
      <x:c r="Y41" s="14" t="n">
        <x:f>IF(L41="Loss",1,0)</x:f>
        <x:v>1</x:v>
      </x:c>
      <x:c r="Z41" t="n">
        <x:f>IF(L41="Draw/Unknown",1,0)</x:f>
        <x:v>0</x:v>
      </x:c>
      <x:c r="AA41" s="16" t="str">
        <x:f>IF(OR(N41="",O41=""),"",N41-O41)</x:f>
      </x:c>
      <x:c r="AB41" s="16" t="n">
        <x:f>IF(T41=0,S41+U41,(S41+U41)/T41)</x:f>
        <x:v>1.5</x:v>
      </x:c>
      <x:c r="AC41" t="n">
        <x:f>S41+U41</x:f>
        <x:v>9</x:v>
      </x:c>
      <x:c r="AD41" t="n">
        <x:f>IF(T41=0,1,0)</x:f>
        <x:v>0</x:v>
      </x:c>
      <x:c r="AE41" t="str">
        <x:f>IF(R41&gt;0,"Gain",IF(R41&lt;0,"Loss","Neutral"))</x:f>
        <x:v>Loss</x:v>
      </x:c>
    </x:row>
    <x:row r="42">
      <x:c r="A42" t="n">
        <x:v>41</x:v>
      </x:c>
      <x:c r="B42" s="12" t="n">
        <x:v>46170</x:v>
      </x:c>
      <x:c r="C42" t="str">
        <x:v>May 28</x:v>
      </x:c>
      <x:c r="D42" t="n">
        <x:v>15</x:v>
      </x:c>
      <x:c r="E42" t="n">
        <x:v>4</x:v>
      </x:c>
      <x:c r="F42" s="14" t="n">
        <x:v>9</x:v>
      </x:c>
      <x:c r="G42" t="str">
        <x:v>6d ago</x:v>
      </x:c>
      <x:c r="H42" t="str">
        <x:v>Competitive</x:v>
      </x:c>
      <x:c r="I42" t="str">
        <x:v>Convergence</x:v>
      </x:c>
      <x:c r="J42" t="str">
        <x:v>Central Park</x:v>
      </x:c>
      <x:c r="K42" t="str">
        <x:v>The Thing</x:v>
      </x:c>
      <x:c r="L42" t="str">
        <x:v>Loss</x:v>
      </x:c>
      <x:c r="M42" t="str"/>
      <x:c r="N42" t="n">
        <x:v>1</x:v>
      </x:c>
      <x:c r="O42" t="n">
        <x:v>2</x:v>
      </x:c>
      <x:c r="P42" t="str">
        <x:v>Grandmaster II</x:v>
      </x:c>
      <x:c r="Q42" t="n">
        <x:v>4576</x:v>
      </x:c>
      <x:c r="R42" s="14" t="n">
        <x:v>-21</x:v>
      </x:c>
      <x:c r="S42" t="n">
        <x:v>11</x:v>
      </x:c>
      <x:c r="T42" t="n">
        <x:v>10</x:v>
      </x:c>
      <x:c r="U42" t="n">
        <x:v>6</x:v>
      </x:c>
      <x:c r="V42" s="16" t="n">
        <x:v>1.7</x:v>
      </x:c>
      <x:c r="W42" t="str">
        <x:v>Parsed from Tracker.gg MHTML/PDF export; competitive rows only.</x:v>
      </x:c>
      <x:c r="X42" t="n">
        <x:f>IF(L42="Win",1,0)</x:f>
        <x:v>0</x:v>
      </x:c>
      <x:c r="Y42" s="14" t="n">
        <x:f>IF(L42="Loss",1,0)</x:f>
        <x:v>1</x:v>
      </x:c>
      <x:c r="Z42" t="n">
        <x:f>IF(L42="Draw/Unknown",1,0)</x:f>
        <x:v>0</x:v>
      </x:c>
      <x:c r="AA42" s="16" t="n">
        <x:f>IF(OR(N42="",O42=""),"",N42-O42)</x:f>
        <x:v>-1</x:v>
      </x:c>
      <x:c r="AB42" s="16" t="n">
        <x:f>IF(T42=0,S42+U42,(S42+U42)/T42)</x:f>
        <x:v>1.7</x:v>
      </x:c>
      <x:c r="AC42" t="n">
        <x:f>S42+U42</x:f>
        <x:v>17</x:v>
      </x:c>
      <x:c r="AD42" t="n">
        <x:f>IF(T42=0,1,0)</x:f>
        <x:v>0</x:v>
      </x:c>
      <x:c r="AE42" t="str">
        <x:f>IF(R42&gt;0,"Gain",IF(R42&lt;0,"Loss","Neutral"))</x:f>
        <x:v>Loss</x:v>
      </x:c>
    </x:row>
    <x:row r="43">
      <x:c r="A43" t="n">
        <x:v>42</x:v>
      </x:c>
      <x:c r="B43" s="12" t="n">
        <x:v>46170</x:v>
      </x:c>
      <x:c r="C43" t="str">
        <x:v>May 28</x:v>
      </x:c>
      <x:c r="D43" t="n">
        <x:v>15</x:v>
      </x:c>
      <x:c r="E43" t="n">
        <x:v>4</x:v>
      </x:c>
      <x:c r="F43" s="14" t="n">
        <x:v>9</x:v>
      </x:c>
      <x:c r="G43" t="str">
        <x:v>6d ago</x:v>
      </x:c>
      <x:c r="H43" t="str">
        <x:v>Competitive</x:v>
      </x:c>
      <x:c r="I43" t="str">
        <x:v>Domination</x:v>
      </x:c>
      <x:c r="J43" t="str">
        <x:v>Hell's Heaven</x:v>
      </x:c>
      <x:c r="K43" t="str">
        <x:v>The Thing</x:v>
      </x:c>
      <x:c r="L43" t="str">
        <x:v>Loss</x:v>
      </x:c>
      <x:c r="M43" t="str"/>
      <x:c r="N43" t="n">
        <x:v>2</x:v>
      </x:c>
      <x:c r="O43" t="n">
        <x:v>1</x:v>
      </x:c>
      <x:c r="P43" t="str">
        <x:v>Grandmaster II</x:v>
      </x:c>
      <x:c r="Q43" t="n">
        <x:v>4597</x:v>
      </x:c>
      <x:c r="R43" s="14" t="n">
        <x:v>-23</x:v>
      </x:c>
      <x:c r="S43" t="n">
        <x:v>9</x:v>
      </x:c>
      <x:c r="T43" t="n">
        <x:v>8</x:v>
      </x:c>
      <x:c r="U43" t="n">
        <x:v>3</x:v>
      </x:c>
      <x:c r="V43" s="16" t="n">
        <x:v>1.5</x:v>
      </x:c>
      <x:c r="W43" t="str">
        <x:v>Parsed from Tracker.gg MHTML/PDF export; competitive rows only.</x:v>
      </x:c>
      <x:c r="X43" t="n">
        <x:f>IF(L43="Win",1,0)</x:f>
        <x:v>0</x:v>
      </x:c>
      <x:c r="Y43" s="14" t="n">
        <x:f>IF(L43="Loss",1,0)</x:f>
        <x:v>1</x:v>
      </x:c>
      <x:c r="Z43" t="n">
        <x:f>IF(L43="Draw/Unknown",1,0)</x:f>
        <x:v>0</x:v>
      </x:c>
      <x:c r="AA43" s="16" t="n">
        <x:f>IF(OR(N43="",O43=""),"",N43-O43)</x:f>
        <x:v>1</x:v>
      </x:c>
      <x:c r="AB43" s="16" t="n">
        <x:f>IF(T43=0,S43+U43,(S43+U43)/T43)</x:f>
        <x:v>1.5</x:v>
      </x:c>
      <x:c r="AC43" t="n">
        <x:f>S43+U43</x:f>
        <x:v>12</x:v>
      </x:c>
      <x:c r="AD43" t="n">
        <x:f>IF(T43=0,1,0)</x:f>
        <x:v>0</x:v>
      </x:c>
      <x:c r="AE43" t="str">
        <x:f>IF(R43&gt;0,"Gain",IF(R43&lt;0,"Loss","Neutral"))</x:f>
        <x:v>Loss</x:v>
      </x:c>
    </x:row>
    <x:row r="44">
      <x:c r="A44" t="n">
        <x:v>43</x:v>
      </x:c>
      <x:c r="B44" s="12" t="n">
        <x:v>46170</x:v>
      </x:c>
      <x:c r="C44" t="str">
        <x:v>May 28</x:v>
      </x:c>
      <x:c r="D44" t="n">
        <x:v>15</x:v>
      </x:c>
      <x:c r="E44" t="n">
        <x:v>4</x:v>
      </x:c>
      <x:c r="F44" s="14" t="n">
        <x:v>9</x:v>
      </x:c>
      <x:c r="G44" t="str">
        <x:v>6d ago</x:v>
      </x:c>
      <x:c r="H44" t="str">
        <x:v>Competitive</x:v>
      </x:c>
      <x:c r="I44" t="str">
        <x:v>Convoy</x:v>
      </x:c>
      <x:c r="J44" t="str">
        <x:v>Arakko</x:v>
      </x:c>
      <x:c r="K44" t="str">
        <x:v>The Thing</x:v>
      </x:c>
      <x:c r="L44" t="str">
        <x:v>Loss</x:v>
      </x:c>
      <x:c r="M44" t="str"/>
      <x:c r="N44" t="n">
        <x:v>0</x:v>
      </x:c>
      <x:c r="O44" t="n">
        <x:v>1</x:v>
      </x:c>
      <x:c r="P44" t="str">
        <x:v>Grandmaster II</x:v>
      </x:c>
      <x:c r="Q44" t="n">
        <x:v>4619</x:v>
      </x:c>
      <x:c r="R44" s="14" t="n">
        <x:v>-20</x:v>
      </x:c>
      <x:c r="S44" t="n">
        <x:v>7</x:v>
      </x:c>
      <x:c r="T44" t="n">
        <x:v>9</x:v>
      </x:c>
      <x:c r="U44" t="n">
        <x:v>3</x:v>
      </x:c>
      <x:c r="V44" s="16" t="n">
        <x:v>1.11</x:v>
      </x:c>
      <x:c r="W44" t="str">
        <x:v>Parsed from Tracker.gg MHTML/PDF export; competitive rows only.</x:v>
      </x:c>
      <x:c r="X44" t="n">
        <x:f>IF(L44="Win",1,0)</x:f>
        <x:v>0</x:v>
      </x:c>
      <x:c r="Y44" s="14" t="n">
        <x:f>IF(L44="Loss",1,0)</x:f>
        <x:v>1</x:v>
      </x:c>
      <x:c r="Z44" t="n">
        <x:f>IF(L44="Draw/Unknown",1,0)</x:f>
        <x:v>0</x:v>
      </x:c>
      <x:c r="AA44" s="16" t="str">
        <x:f>IF(OR(N44="",O44=""),"",N44-O44)</x:f>
      </x:c>
      <x:c r="AB44" s="16" t="n">
        <x:f>IF(T44=0,S44+U44,(S44+U44)/T44)</x:f>
        <x:v>1.1111111111111112</x:v>
      </x:c>
      <x:c r="AC44" t="n">
        <x:f>S44+U44</x:f>
        <x:v>10</x:v>
      </x:c>
      <x:c r="AD44" t="n">
        <x:f>IF(T44=0,1,0)</x:f>
        <x:v>0</x:v>
      </x:c>
      <x:c r="AE44" t="str">
        <x:f>IF(R44&gt;0,"Gain",IF(R44&lt;0,"Loss","Neutral"))</x:f>
        <x:v>Loss</x:v>
      </x:c>
    </x:row>
    <x:row r="45">
      <x:c r="A45" t="n">
        <x:v>44</x:v>
      </x:c>
      <x:c r="B45" s="12" t="n">
        <x:v>46170</x:v>
      </x:c>
      <x:c r="C45" t="str">
        <x:v>May 28</x:v>
      </x:c>
      <x:c r="D45" t="n">
        <x:v>15</x:v>
      </x:c>
      <x:c r="E45" t="n">
        <x:v>4</x:v>
      </x:c>
      <x:c r="F45" s="14" t="n">
        <x:v>9</x:v>
      </x:c>
      <x:c r="G45" t="str">
        <x:v>1w ago</x:v>
      </x:c>
      <x:c r="H45" t="str">
        <x:v>Competitive</x:v>
      </x:c>
      <x:c r="I45" t="str">
        <x:v>Convergence</x:v>
      </x:c>
      <x:c r="J45" t="str">
        <x:v>Heart Of Heaven</x:v>
      </x:c>
      <x:c r="K45" t="str">
        <x:v>Devil Dinosaur</x:v>
      </x:c>
      <x:c r="L45" t="str">
        <x:v>Loss</x:v>
      </x:c>
      <x:c r="M45" t="str"/>
      <x:c r="N45" t="n">
        <x:v>1</x:v>
      </x:c>
      <x:c r="O45" t="n">
        <x:v>2</x:v>
      </x:c>
      <x:c r="P45" t="str">
        <x:v>Grandmaster II</x:v>
      </x:c>
      <x:c r="Q45" t="n">
        <x:v>4638</x:v>
      </x:c>
      <x:c r="R45" s="14" t="n">
        <x:v>-26</x:v>
      </x:c>
      <x:c r="S45" t="n">
        <x:v>14</x:v>
      </x:c>
      <x:c r="T45" t="n">
        <x:v>14</x:v>
      </x:c>
      <x:c r="U45" t="n">
        <x:v>9</x:v>
      </x:c>
      <x:c r="V45" s="16" t="n">
        <x:v>1.64</x:v>
      </x:c>
      <x:c r="W45" t="str">
        <x:v>Parsed from Tracker.gg MHTML/PDF export; competitive rows only.</x:v>
      </x:c>
      <x:c r="X45" t="n">
        <x:f>IF(L45="Win",1,0)</x:f>
        <x:v>0</x:v>
      </x:c>
      <x:c r="Y45" s="14" t="n">
        <x:f>IF(L45="Loss",1,0)</x:f>
        <x:v>1</x:v>
      </x:c>
      <x:c r="Z45" t="n">
        <x:f>IF(L45="Draw/Unknown",1,0)</x:f>
        <x:v>0</x:v>
      </x:c>
      <x:c r="AA45" s="16" t="n">
        <x:f>IF(OR(N45="",O45=""),"",N45-O45)</x:f>
        <x:v>-1</x:v>
      </x:c>
      <x:c r="AB45" s="16" t="n">
        <x:f>IF(T45=0,S45+U45,(S45+U45)/T45)</x:f>
        <x:v>1.6428571428571428</x:v>
      </x:c>
      <x:c r="AC45" t="n">
        <x:f>S45+U45</x:f>
        <x:v>23</x:v>
      </x:c>
      <x:c r="AD45" t="n">
        <x:f>IF(T45=0,1,0)</x:f>
        <x:v>0</x:v>
      </x:c>
      <x:c r="AE45" t="str">
        <x:f>IF(R45&gt;0,"Gain",IF(R45&lt;0,"Loss","Neutral"))</x:f>
        <x:v>Loss</x:v>
      </x:c>
    </x:row>
    <x:row r="46">
      <x:c r="A46" t="n">
        <x:v>45</x:v>
      </x:c>
      <x:c r="B46" s="12" t="n">
        <x:v>46170</x:v>
      </x:c>
      <x:c r="C46" t="str">
        <x:v>May 28</x:v>
      </x:c>
      <x:c r="D46" t="n">
        <x:v>15</x:v>
      </x:c>
      <x:c r="E46" t="n">
        <x:v>4</x:v>
      </x:c>
      <x:c r="F46" s="14" t="n">
        <x:v>9</x:v>
      </x:c>
      <x:c r="G46" t="str">
        <x:v>1w ago</x:v>
      </x:c>
      <x:c r="H46" t="str">
        <x:v>Competitive</x:v>
      </x:c>
      <x:c r="I46" t="str">
        <x:v>Convergence</x:v>
      </x:c>
      <x:c r="J46" t="str">
        <x:v>Unknown / not captured</x:v>
      </x:c>
      <x:c r="K46" t="str">
        <x:v>Peni Parker</x:v>
      </x:c>
      <x:c r="L46" t="str">
        <x:v>Draw/Unknown</x:v>
      </x:c>
      <x:c r="M46" t="str"/>
      <x:c r="N46" t="n">
        <x:v>0</x:v>
      </x:c>
      <x:c r="O46" t="n">
        <x:v>0</x:v>
      </x:c>
      <x:c r="P46" t="str">
        <x:v>Grandmaster II</x:v>
      </x:c>
      <x:c r="Q46" t="n">
        <x:v>4663</x:v>
      </x:c>
      <x:c r="R46" s="14" t="n">
        <x:v>1</x:v>
      </x:c>
      <x:c r="S46" t="n">
        <x:v>19</x:v>
      </x:c>
      <x:c r="T46" t="n">
        <x:v>7</x:v>
      </x:c>
      <x:c r="U46" t="n">
        <x:v>13</x:v>
      </x:c>
      <x:c r="V46" s="16" t="n">
        <x:v>4.57</x:v>
      </x:c>
      <x:c r="W46" t="str">
        <x:v>Parsed from Tracker.gg MHTML/PDF export; competitive rows only.</x:v>
      </x:c>
      <x:c r="X46" t="n">
        <x:f>IF(L46="Win",1,0)</x:f>
        <x:v>0</x:v>
      </x:c>
      <x:c r="Y46" s="14" t="n">
        <x:f>IF(L46="Loss",1,0)</x:f>
        <x:v>0</x:v>
      </x:c>
      <x:c r="Z46" t="n">
        <x:f>IF(L46="Draw/Unknown",1,0)</x:f>
        <x:v>1</x:v>
      </x:c>
      <x:c r="AA46" s="16" t="str">
        <x:f>IF(OR(N46="",O46=""),"",N46-O46)</x:f>
      </x:c>
      <x:c r="AB46" s="16" t="n">
        <x:f>IF(T46=0,S46+U46,(S46+U46)/T46)</x:f>
        <x:v>4.571428571428571</x:v>
      </x:c>
      <x:c r="AC46" t="n">
        <x:f>S46+U46</x:f>
        <x:v>32</x:v>
      </x:c>
      <x:c r="AD46" t="n">
        <x:f>IF(T46=0,1,0)</x:f>
        <x:v>0</x:v>
      </x:c>
      <x:c r="AE46" t="str">
        <x:f>IF(R46&gt;0,"Gain",IF(R46&lt;0,"Loss","Neutral"))</x:f>
        <x:v>Gain</x:v>
      </x:c>
    </x:row>
    <x:row r="47">
      <x:c r="A47" t="n">
        <x:v>46</x:v>
      </x:c>
      <x:c r="B47" s="12" t="n">
        <x:v>46169</x:v>
      </x:c>
      <x:c r="C47" t="str">
        <x:v>May 27</x:v>
      </x:c>
      <x:c r="D47" t="n">
        <x:v>6</x:v>
      </x:c>
      <x:c r="E47" t="n">
        <x:v>4</x:v>
      </x:c>
      <x:c r="F47" s="14" t="n">
        <x:v>2</x:v>
      </x:c>
      <x:c r="G47" t="str">
        <x:v>1w ago</x:v>
      </x:c>
      <x:c r="H47" t="str">
        <x:v>Competitive</x:v>
      </x:c>
      <x:c r="I47" t="str">
        <x:v>Domination</x:v>
      </x:c>
      <x:c r="J47" t="str">
        <x:v>Birnin T'Challa</x:v>
      </x:c>
      <x:c r="K47" t="str">
        <x:v>The Thing</x:v>
      </x:c>
      <x:c r="L47" t="str">
        <x:v>Win</x:v>
      </x:c>
      <x:c r="M47" t="str"/>
      <x:c r="N47" t="n">
        <x:v>0</x:v>
      </x:c>
      <x:c r="O47" t="n">
        <x:v>2</x:v>
      </x:c>
      <x:c r="P47" t="str">
        <x:v>Grandmaster II</x:v>
      </x:c>
      <x:c r="Q47" t="n">
        <x:v>4662</x:v>
      </x:c>
      <x:c r="R47" s="14" t="n">
        <x:v>20</x:v>
      </x:c>
      <x:c r="S47" t="n">
        <x:v>16</x:v>
      </x:c>
      <x:c r="T47" t="n">
        <x:v>3</x:v>
      </x:c>
      <x:c r="U47" t="n">
        <x:v>8</x:v>
      </x:c>
      <x:c r="V47" s="16" t="n">
        <x:v>8</x:v>
      </x:c>
      <x:c r="W47" t="str">
        <x:v>Parsed from Tracker.gg MHTML/PDF export; competitive rows only.</x:v>
      </x:c>
      <x:c r="X47" t="n">
        <x:f>IF(L47="Win",1,0)</x:f>
        <x:v>1</x:v>
      </x:c>
      <x:c r="Y47" s="14" t="n">
        <x:f>IF(L47="Loss",1,0)</x:f>
        <x:v>0</x:v>
      </x:c>
      <x:c r="Z47" t="n">
        <x:f>IF(L47="Draw/Unknown",1,0)</x:f>
        <x:v>0</x:v>
      </x:c>
      <x:c r="AA47" s="16" t="str">
        <x:f>IF(OR(N47="",O47=""),"",N47-O47)</x:f>
      </x:c>
      <x:c r="AB47" s="16" t="n">
        <x:f>IF(T47=0,S47+U47,(S47+U47)/T47)</x:f>
        <x:v>8</x:v>
      </x:c>
      <x:c r="AC47" t="n">
        <x:f>S47+U47</x:f>
        <x:v>24</x:v>
      </x:c>
      <x:c r="AD47" t="n">
        <x:f>IF(T47=0,1,0)</x:f>
        <x:v>0</x:v>
      </x:c>
      <x:c r="AE47" t="str">
        <x:f>IF(R47&gt;0,"Gain",IF(R47&lt;0,"Loss","Neutral"))</x:f>
        <x:v>Gain</x:v>
      </x:c>
    </x:row>
    <x:row r="48">
      <x:c r="A48" t="n">
        <x:v>47</x:v>
      </x:c>
      <x:c r="B48" s="12" t="n">
        <x:v>46169</x:v>
      </x:c>
      <x:c r="C48" t="str">
        <x:v>May 27</x:v>
      </x:c>
      <x:c r="D48" t="n">
        <x:v>6</x:v>
      </x:c>
      <x:c r="E48" t="n">
        <x:v>4</x:v>
      </x:c>
      <x:c r="F48" s="14" t="n">
        <x:v>2</x:v>
      </x:c>
      <x:c r="G48" t="str">
        <x:v>1w ago</x:v>
      </x:c>
      <x:c r="H48" t="str">
        <x:v>Competitive</x:v>
      </x:c>
      <x:c r="I48" t="str">
        <x:v>Convoy</x:v>
      </x:c>
      <x:c r="J48" t="str">
        <x:v>Spider-Islands</x:v>
      </x:c>
      <x:c r="K48" t="str">
        <x:v>Peni Parker</x:v>
      </x:c>
      <x:c r="L48" t="str">
        <x:v>Win</x:v>
      </x:c>
      <x:c r="M48" t="str"/>
      <x:c r="N48" t="n">
        <x:v>2</x:v>
      </x:c>
      <x:c r="O48" t="n">
        <x:v>1</x:v>
      </x:c>
      <x:c r="P48" t="str">
        <x:v>Grandmaster II</x:v>
      </x:c>
      <x:c r="Q48" t="n">
        <x:v>4642</x:v>
      </x:c>
      <x:c r="R48" s="14" t="n">
        <x:v>21</x:v>
      </x:c>
      <x:c r="S48" t="n">
        <x:v>18</x:v>
      </x:c>
      <x:c r="T48" t="n">
        <x:v>11</x:v>
      </x:c>
      <x:c r="U48" t="n">
        <x:v>15</x:v>
      </x:c>
      <x:c r="V48" s="16" t="n">
        <x:v>3</x:v>
      </x:c>
      <x:c r="W48" t="str">
        <x:v>Parsed from Tracker.gg MHTML/PDF export; competitive rows only.</x:v>
      </x:c>
      <x:c r="X48" t="n">
        <x:f>IF(L48="Win",1,0)</x:f>
        <x:v>1</x:v>
      </x:c>
      <x:c r="Y48" s="14" t="n">
        <x:f>IF(L48="Loss",1,0)</x:f>
        <x:v>0</x:v>
      </x:c>
      <x:c r="Z48" t="n">
        <x:f>IF(L48="Draw/Unknown",1,0)</x:f>
        <x:v>0</x:v>
      </x:c>
      <x:c r="AA48" s="16" t="n">
        <x:f>IF(OR(N48="",O48=""),"",N48-O48)</x:f>
        <x:v>1</x:v>
      </x:c>
      <x:c r="AB48" s="16" t="n">
        <x:f>IF(T48=0,S48+U48,(S48+U48)/T48)</x:f>
        <x:v>3</x:v>
      </x:c>
      <x:c r="AC48" t="n">
        <x:f>S48+U48</x:f>
        <x:v>33</x:v>
      </x:c>
      <x:c r="AD48" t="n">
        <x:f>IF(T48=0,1,0)</x:f>
        <x:v>0</x:v>
      </x:c>
      <x:c r="AE48" t="str">
        <x:f>IF(R48&gt;0,"Gain",IF(R48&lt;0,"Loss","Neutral"))</x:f>
        <x:v>Gain</x:v>
      </x:c>
    </x:row>
    <x:row r="49">
      <x:c r="A49" t="n">
        <x:v>48</x:v>
      </x:c>
      <x:c r="B49" s="12" t="n">
        <x:v>46169</x:v>
      </x:c>
      <x:c r="C49" t="str">
        <x:v>May 27</x:v>
      </x:c>
      <x:c r="D49" t="n">
        <x:v>6</x:v>
      </x:c>
      <x:c r="E49" t="n">
        <x:v>4</x:v>
      </x:c>
      <x:c r="F49" s="14" t="n">
        <x:v>2</x:v>
      </x:c>
      <x:c r="G49" t="str">
        <x:v>1w ago</x:v>
      </x:c>
      <x:c r="H49" t="str">
        <x:v>Competitive</x:v>
      </x:c>
      <x:c r="I49" t="str">
        <x:v>Convergence</x:v>
      </x:c>
      <x:c r="J49" t="str">
        <x:v>Hall Of Djalia</x:v>
      </x:c>
      <x:c r="K49" t="str">
        <x:v>The Thing</x:v>
      </x:c>
      <x:c r="L49" t="str">
        <x:v>Loss</x:v>
      </x:c>
      <x:c r="M49" t="str"/>
      <x:c r="N49" t="n">
        <x:v>3</x:v>
      </x:c>
      <x:c r="O49" t="n">
        <x:v>2</x:v>
      </x:c>
      <x:c r="P49" t="str">
        <x:v>Grandmaster II</x:v>
      </x:c>
      <x:c r="Q49" t="n">
        <x:v>4621</x:v>
      </x:c>
      <x:c r="R49" s="14" t="n">
        <x:v>-26</x:v>
      </x:c>
      <x:c r="S49" t="n">
        <x:v>17</x:v>
      </x:c>
      <x:c r="T49" t="n">
        <x:v>14</x:v>
      </x:c>
      <x:c r="U49" t="n">
        <x:v>13</x:v>
      </x:c>
      <x:c r="V49" s="16" t="n">
        <x:v>2.14</x:v>
      </x:c>
      <x:c r="W49" t="str">
        <x:v>Parsed from Tracker.gg MHTML/PDF export; competitive rows only.</x:v>
      </x:c>
      <x:c r="X49" t="n">
        <x:f>IF(L49="Win",1,0)</x:f>
        <x:v>0</x:v>
      </x:c>
      <x:c r="Y49" s="14" t="n">
        <x:f>IF(L49="Loss",1,0)</x:f>
        <x:v>1</x:v>
      </x:c>
      <x:c r="Z49" t="n">
        <x:f>IF(L49="Draw/Unknown",1,0)</x:f>
        <x:v>0</x:v>
      </x:c>
      <x:c r="AA49" s="16" t="n">
        <x:f>IF(OR(N49="",O49=""),"",N49-O49)</x:f>
        <x:v>1</x:v>
      </x:c>
      <x:c r="AB49" s="16" t="n">
        <x:f>IF(T49=0,S49+U49,(S49+U49)/T49)</x:f>
        <x:v>2.142857142857143</x:v>
      </x:c>
      <x:c r="AC49" t="n">
        <x:f>S49+U49</x:f>
        <x:v>30</x:v>
      </x:c>
      <x:c r="AD49" t="n">
        <x:f>IF(T49=0,1,0)</x:f>
        <x:v>0</x:v>
      </x:c>
      <x:c r="AE49" t="str">
        <x:f>IF(R49&gt;0,"Gain",IF(R49&lt;0,"Loss","Neutral"))</x:f>
        <x:v>Loss</x:v>
      </x:c>
    </x:row>
    <x:row r="50">
      <x:c r="A50" t="n">
        <x:v>49</x:v>
      </x:c>
      <x:c r="B50" s="12" t="n">
        <x:v>46168</x:v>
      </x:c>
      <x:c r="C50" t="str">
        <x:v>May 26</x:v>
      </x:c>
      <x:c r="D50" t="n">
        <x:v>7</x:v>
      </x:c>
      <x:c r="E50" t="n">
        <x:v>3</x:v>
      </x:c>
      <x:c r="F50" s="14" t="n">
        <x:v>4</x:v>
      </x:c>
      <x:c r="G50" t="str">
        <x:v>1w ago</x:v>
      </x:c>
      <x:c r="H50" t="str">
        <x:v>Competitive</x:v>
      </x:c>
      <x:c r="I50" t="str">
        <x:v>Convoy</x:v>
      </x:c>
      <x:c r="J50" t="str">
        <x:v>Yggdrasill Path</x:v>
      </x:c>
      <x:c r="K50" t="str">
        <x:v>Groot</x:v>
      </x:c>
      <x:c r="L50" t="str">
        <x:v>Win</x:v>
      </x:c>
      <x:c r="M50" t="str"/>
      <x:c r="N50" t="n">
        <x:v>2</x:v>
      </x:c>
      <x:c r="O50" t="n">
        <x:v>3</x:v>
      </x:c>
      <x:c r="P50" t="str">
        <x:v>Grandmaster II</x:v>
      </x:c>
      <x:c r="Q50" t="n">
        <x:v>4647</x:v>
      </x:c>
      <x:c r="R50" s="14" t="n">
        <x:v>19</x:v>
      </x:c>
      <x:c r="S50" t="n">
        <x:v>27</x:v>
      </x:c>
      <x:c r="T50" t="n">
        <x:v>10</x:v>
      </x:c>
      <x:c r="U50" t="n">
        <x:v>11</x:v>
      </x:c>
      <x:c r="V50" s="16" t="n">
        <x:v>3.8</x:v>
      </x:c>
      <x:c r="W50" t="str">
        <x:v>Parsed from Tracker.gg MHTML/PDF export; competitive rows only.</x:v>
      </x:c>
      <x:c r="X50" t="n">
        <x:f>IF(L50="Win",1,0)</x:f>
        <x:v>1</x:v>
      </x:c>
      <x:c r="Y50" s="14" t="n">
        <x:f>IF(L50="Loss",1,0)</x:f>
        <x:v>0</x:v>
      </x:c>
      <x:c r="Z50" t="n">
        <x:f>IF(L50="Draw/Unknown",1,0)</x:f>
        <x:v>0</x:v>
      </x:c>
      <x:c r="AA50" s="16" t="n">
        <x:f>IF(OR(N50="",O50=""),"",N50-O50)</x:f>
        <x:v>-1</x:v>
      </x:c>
      <x:c r="AB50" s="16" t="n">
        <x:f>IF(T50=0,S50+U50,(S50+U50)/T50)</x:f>
        <x:v>3.8</x:v>
      </x:c>
      <x:c r="AC50" t="n">
        <x:f>S50+U50</x:f>
        <x:v>38</x:v>
      </x:c>
      <x:c r="AD50" t="n">
        <x:f>IF(T50=0,1,0)</x:f>
        <x:v>0</x:v>
      </x:c>
      <x:c r="AE50" t="str">
        <x:f>IF(R50&gt;0,"Gain",IF(R50&lt;0,"Loss","Neutral"))</x:f>
        <x:v>Gain</x:v>
      </x:c>
    </x:row>
    <x:row r="51">
      <x:c r="A51" t="n">
        <x:v>50</x:v>
      </x:c>
      <x:c r="B51" s="12" t="n">
        <x:v>46168</x:v>
      </x:c>
      <x:c r="C51" t="str">
        <x:v>May 26</x:v>
      </x:c>
      <x:c r="D51" t="n">
        <x:v>7</x:v>
      </x:c>
      <x:c r="E51" t="n">
        <x:v>3</x:v>
      </x:c>
      <x:c r="F51" s="14" t="n">
        <x:v>4</x:v>
      </x:c>
      <x:c r="G51" t="str">
        <x:v>1w ago</x:v>
      </x:c>
      <x:c r="H51" t="str">
        <x:v>Competitive</x:v>
      </x:c>
      <x:c r="I51" t="str">
        <x:v>Convergence</x:v>
      </x:c>
      <x:c r="J51" t="str">
        <x:v>Shin-Shibuya</x:v>
      </x:c>
      <x:c r="K51" t="str">
        <x:v>The Thing</x:v>
      </x:c>
      <x:c r="L51" t="str">
        <x:v>Loss</x:v>
      </x:c>
      <x:c r="M51" t="str"/>
      <x:c r="N51" t="n">
        <x:v>3</x:v>
      </x:c>
      <x:c r="O51" t="n">
        <x:v>1</x:v>
      </x:c>
      <x:c r="P51" t="str">
        <x:v>Grandmaster II</x:v>
      </x:c>
      <x:c r="Q51" t="n">
        <x:v>4627</x:v>
      </x:c>
      <x:c r="R51" s="14" t="n">
        <x:v>-19</x:v>
      </x:c>
      <x:c r="S51" t="n">
        <x:v>14</x:v>
      </x:c>
      <x:c r="T51" t="n">
        <x:v>13</x:v>
      </x:c>
      <x:c r="U51" t="n">
        <x:v>7</x:v>
      </x:c>
      <x:c r="V51" s="16" t="n">
        <x:v>1.62</x:v>
      </x:c>
      <x:c r="W51" t="str">
        <x:v>Parsed from Tracker.gg MHTML/PDF export; competitive rows only.</x:v>
      </x:c>
      <x:c r="X51" t="n">
        <x:f>IF(L51="Win",1,0)</x:f>
        <x:v>0</x:v>
      </x:c>
      <x:c r="Y51" s="14" t="n">
        <x:f>IF(L51="Loss",1,0)</x:f>
        <x:v>1</x:v>
      </x:c>
      <x:c r="Z51" t="n">
        <x:f>IF(L51="Draw/Unknown",1,0)</x:f>
        <x:v>0</x:v>
      </x:c>
      <x:c r="AA51" s="16" t="n">
        <x:f>IF(OR(N51="",O51=""),"",N51-O51)</x:f>
        <x:v>2</x:v>
      </x:c>
      <x:c r="AB51" s="16" t="n">
        <x:f>IF(T51=0,S51+U51,(S51+U51)/T51)</x:f>
        <x:v>1.6153846153846154</x:v>
      </x:c>
      <x:c r="AC51" t="n">
        <x:f>S51+U51</x:f>
        <x:v>21</x:v>
      </x:c>
      <x:c r="AD51" t="n">
        <x:f>IF(T51=0,1,0)</x:f>
        <x:v>0</x:v>
      </x:c>
      <x:c r="AE51" t="str">
        <x:f>IF(R51&gt;0,"Gain",IF(R51&lt;0,"Loss","Neutral"))</x:f>
        <x:v>Loss</x:v>
      </x:c>
    </x:row>
    <x:row r="52">
      <x:c r="A52" t="n">
        <x:v>51</x:v>
      </x:c>
      <x:c r="B52" s="12" t="n">
        <x:v>46168</x:v>
      </x:c>
      <x:c r="C52" t="str">
        <x:v>May 26</x:v>
      </x:c>
      <x:c r="D52" t="n">
        <x:v>7</x:v>
      </x:c>
      <x:c r="E52" t="n">
        <x:v>3</x:v>
      </x:c>
      <x:c r="F52" s="14" t="n">
        <x:v>4</x:v>
      </x:c>
      <x:c r="G52" t="str">
        <x:v>1w ago</x:v>
      </x:c>
      <x:c r="H52" t="str">
        <x:v>Competitive</x:v>
      </x:c>
      <x:c r="I52" t="str">
        <x:v>Convergence</x:v>
      </x:c>
      <x:c r="J52" t="str">
        <x:v>Heart Of Heaven</x:v>
      </x:c>
      <x:c r="K52" t="str">
        <x:v>The Thing</x:v>
      </x:c>
      <x:c r="L52" t="str">
        <x:v>Win</x:v>
      </x:c>
      <x:c r="M52" t="str"/>
      <x:c r="N52" t="n">
        <x:v>0</x:v>
      </x:c>
      <x:c r="O52" t="n">
        <x:v>1</x:v>
      </x:c>
      <x:c r="P52" t="str">
        <x:v>Grandmaster II</x:v>
      </x:c>
      <x:c r="Q52" t="n">
        <x:v>4646</x:v>
      </x:c>
      <x:c r="R52" s="14" t="n">
        <x:v>22</x:v>
      </x:c>
      <x:c r="S52" t="n">
        <x:v>7</x:v>
      </x:c>
      <x:c r="T52" t="n">
        <x:v>1</x:v>
      </x:c>
      <x:c r="U52" t="n">
        <x:v>1</x:v>
      </x:c>
      <x:c r="V52" s="16" t="n">
        <x:v>8</x:v>
      </x:c>
      <x:c r="W52" t="str">
        <x:v>Parsed from Tracker.gg MHTML/PDF export; competitive rows only.</x:v>
      </x:c>
      <x:c r="X52" t="n">
        <x:f>IF(L52="Win",1,0)</x:f>
        <x:v>1</x:v>
      </x:c>
      <x:c r="Y52" s="14" t="n">
        <x:f>IF(L52="Loss",1,0)</x:f>
        <x:v>0</x:v>
      </x:c>
      <x:c r="Z52" t="n">
        <x:f>IF(L52="Draw/Unknown",1,0)</x:f>
        <x:v>0</x:v>
      </x:c>
      <x:c r="AA52" s="16" t="str">
        <x:f>IF(OR(N52="",O52=""),"",N52-O52)</x:f>
      </x:c>
      <x:c r="AB52" s="16" t="n">
        <x:f>IF(T52=0,S52+U52,(S52+U52)/T52)</x:f>
        <x:v>8</x:v>
      </x:c>
      <x:c r="AC52" t="n">
        <x:f>S52+U52</x:f>
        <x:v>8</x:v>
      </x:c>
      <x:c r="AD52" t="n">
        <x:f>IF(T52=0,1,0)</x:f>
        <x:v>0</x:v>
      </x:c>
      <x:c r="AE52" t="str">
        <x:f>IF(R52&gt;0,"Gain",IF(R52&lt;0,"Loss","Neutral"))</x:f>
        <x:v>Gain</x:v>
      </x:c>
    </x:row>
    <x:row r="53">
      <x:c r="A53" t="n">
        <x:v>52</x:v>
      </x:c>
      <x:c r="B53" s="12" t="n">
        <x:v>46168</x:v>
      </x:c>
      <x:c r="C53" t="str">
        <x:v>May 26</x:v>
      </x:c>
      <x:c r="D53" t="n">
        <x:v>7</x:v>
      </x:c>
      <x:c r="E53" t="n">
        <x:v>3</x:v>
      </x:c>
      <x:c r="F53" s="14" t="n">
        <x:v>4</x:v>
      </x:c>
      <x:c r="G53" t="str">
        <x:v>1w ago</x:v>
      </x:c>
      <x:c r="H53" t="str">
        <x:v>Competitive</x:v>
      </x:c>
      <x:c r="I53" t="str">
        <x:v>Domination</x:v>
      </x:c>
      <x:c r="J53" t="str">
        <x:v>Krakoa</x:v>
      </x:c>
      <x:c r="K53" t="str">
        <x:v>Squirrel Girl</x:v>
      </x:c>
      <x:c r="L53" t="str">
        <x:v>Loss</x:v>
      </x:c>
      <x:c r="M53" t="str">
        <x:v>SVP</x:v>
      </x:c>
      <x:c r="N53" t="n">
        <x:v>2</x:v>
      </x:c>
      <x:c r="O53" t="n">
        <x:v>0</x:v>
      </x:c>
      <x:c r="P53" t="str">
        <x:v>Grandmaster II</x:v>
      </x:c>
      <x:c r="Q53" t="n">
        <x:v>4623</x:v>
      </x:c>
      <x:c r="R53" s="14" t="n">
        <x:v>-16</x:v>
      </x:c>
      <x:c r="S53" t="n">
        <x:v>8</x:v>
      </x:c>
      <x:c r="T53" t="n">
        <x:v>9</x:v>
      </x:c>
      <x:c r="U53" t="n">
        <x:v>1</x:v>
      </x:c>
      <x:c r="V53" s="16" t="n">
        <x:v>1</x:v>
      </x:c>
      <x:c r="W53" t="str">
        <x:v>Parsed from Tracker.gg MHTML/PDF export; competitive rows only.</x:v>
      </x:c>
      <x:c r="X53" t="n">
        <x:f>IF(L53="Win",1,0)</x:f>
        <x:v>0</x:v>
      </x:c>
      <x:c r="Y53" s="14" t="n">
        <x:f>IF(L53="Loss",1,0)</x:f>
        <x:v>1</x:v>
      </x:c>
      <x:c r="Z53" t="n">
        <x:f>IF(L53="Draw/Unknown",1,0)</x:f>
        <x:v>0</x:v>
      </x:c>
      <x:c r="AA53" s="16" t="str">
        <x:f>IF(OR(N53="",O53=""),"",N53-O53)</x:f>
      </x:c>
      <x:c r="AB53" s="16" t="n">
        <x:f>IF(T53=0,S53+U53,(S53+U53)/T53)</x:f>
        <x:v>1</x:v>
      </x:c>
      <x:c r="AC53" t="n">
        <x:f>S53+U53</x:f>
        <x:v>9</x:v>
      </x:c>
      <x:c r="AD53" t="n">
        <x:f>IF(T53=0,1,0)</x:f>
        <x:v>0</x:v>
      </x:c>
      <x:c r="AE53" t="str">
        <x:f>IF(R53&gt;0,"Gain",IF(R53&lt;0,"Loss","Neutral"))</x:f>
        <x:v>Loss</x:v>
      </x:c>
    </x:row>
    <x:row r="54">
      <x:c r="A54" t="n">
        <x:v>53</x:v>
      </x:c>
      <x:c r="B54" s="12" t="n">
        <x:v>46168</x:v>
      </x:c>
      <x:c r="C54" t="str">
        <x:v>May 26</x:v>
      </x:c>
      <x:c r="D54" t="n">
        <x:v>7</x:v>
      </x:c>
      <x:c r="E54" t="n">
        <x:v>3</x:v>
      </x:c>
      <x:c r="F54" s="14" t="n">
        <x:v>4</x:v>
      </x:c>
      <x:c r="G54" t="str">
        <x:v>1w ago</x:v>
      </x:c>
      <x:c r="H54" t="str">
        <x:v>Competitive</x:v>
      </x:c>
      <x:c r="I54" t="str">
        <x:v>Domination</x:v>
      </x:c>
      <x:c r="J54" t="str">
        <x:v>Hell's Heaven</x:v>
      </x:c>
      <x:c r="K54" t="str">
        <x:v>Groot</x:v>
      </x:c>
      <x:c r="L54" t="str">
        <x:v>Loss</x:v>
      </x:c>
      <x:c r="M54" t="str"/>
      <x:c r="N54" t="n">
        <x:v>0</x:v>
      </x:c>
      <x:c r="O54" t="n">
        <x:v>2</x:v>
      </x:c>
      <x:c r="P54" t="str">
        <x:v>Grandmaster II</x:v>
      </x:c>
      <x:c r="Q54" t="n">
        <x:v>4639</x:v>
      </x:c>
      <x:c r="R54" s="14" t="n">
        <x:v>-18</x:v>
      </x:c>
      <x:c r="S54" t="n">
        <x:v>8</x:v>
      </x:c>
      <x:c r="T54" t="n">
        <x:v>7</x:v>
      </x:c>
      <x:c r="U54" t="n">
        <x:v>0</x:v>
      </x:c>
      <x:c r="V54" s="16" t="n">
        <x:v>1.14</x:v>
      </x:c>
      <x:c r="W54" t="str">
        <x:v>Parsed from Tracker.gg MHTML/PDF export; competitive rows only.</x:v>
      </x:c>
      <x:c r="X54" t="n">
        <x:f>IF(L54="Win",1,0)</x:f>
        <x:v>0</x:v>
      </x:c>
      <x:c r="Y54" s="14" t="n">
        <x:f>IF(L54="Loss",1,0)</x:f>
        <x:v>1</x:v>
      </x:c>
      <x:c r="Z54" t="n">
        <x:f>IF(L54="Draw/Unknown",1,0)</x:f>
        <x:v>0</x:v>
      </x:c>
      <x:c r="AA54" s="16" t="str">
        <x:f>IF(OR(N54="",O54=""),"",N54-O54)</x:f>
      </x:c>
      <x:c r="AB54" s="16" t="n">
        <x:f>IF(T54=0,S54+U54,(S54+U54)/T54)</x:f>
        <x:v>1.1428571428571428</x:v>
      </x:c>
      <x:c r="AC54" t="n">
        <x:f>S54+U54</x:f>
        <x:v>8</x:v>
      </x:c>
      <x:c r="AD54" t="n">
        <x:f>IF(T54=0,1,0)</x:f>
        <x:v>0</x:v>
      </x:c>
      <x:c r="AE54" t="str">
        <x:f>IF(R54&gt;0,"Gain",IF(R54&lt;0,"Loss","Neutral"))</x:f>
        <x:v>Loss</x:v>
      </x:c>
    </x:row>
    <x:row r="55">
      <x:c r="A55" t="n">
        <x:v>54</x:v>
      </x:c>
      <x:c r="B55" s="12" t="n">
        <x:v>46168</x:v>
      </x:c>
      <x:c r="C55" t="str">
        <x:v>May 26</x:v>
      </x:c>
      <x:c r="D55" t="n">
        <x:v>7</x:v>
      </x:c>
      <x:c r="E55" t="n">
        <x:v>3</x:v>
      </x:c>
      <x:c r="F55" s="14" t="n">
        <x:v>4</x:v>
      </x:c>
      <x:c r="G55" t="str">
        <x:v>1w ago</x:v>
      </x:c>
      <x:c r="H55" t="str">
        <x:v>Competitive</x:v>
      </x:c>
      <x:c r="I55" t="str">
        <x:v>Domination</x:v>
      </x:c>
      <x:c r="J55" t="str">
        <x:v>Hell's Heaven</x:v>
      </x:c>
      <x:c r="K55" t="str">
        <x:v>Peni Parker</x:v>
      </x:c>
      <x:c r="L55" t="str">
        <x:v>Win</x:v>
      </x:c>
      <x:c r="M55" t="str"/>
      <x:c r="N55" t="n">
        <x:v>0</x:v>
      </x:c>
      <x:c r="O55" t="n">
        <x:v>2</x:v>
      </x:c>
      <x:c r="P55" t="str">
        <x:v>Grandmaster II</x:v>
      </x:c>
      <x:c r="Q55" t="n">
        <x:v>4657</x:v>
      </x:c>
      <x:c r="R55" s="14" t="n">
        <x:v>19</x:v>
      </x:c>
      <x:c r="S55" t="n">
        <x:v>17</x:v>
      </x:c>
      <x:c r="T55" t="n">
        <x:v>1</x:v>
      </x:c>
      <x:c r="U55" t="n">
        <x:v>25</x:v>
      </x:c>
      <x:c r="V55" s="16" t="n">
        <x:v>42</x:v>
      </x:c>
      <x:c r="W55" t="str">
        <x:v>Parsed from Tracker.gg MHTML/PDF export; competitive rows only.</x:v>
      </x:c>
      <x:c r="X55" t="n">
        <x:f>IF(L55="Win",1,0)</x:f>
        <x:v>1</x:v>
      </x:c>
      <x:c r="Y55" s="14" t="n">
        <x:f>IF(L55="Loss",1,0)</x:f>
        <x:v>0</x:v>
      </x:c>
      <x:c r="Z55" t="n">
        <x:f>IF(L55="Draw/Unknown",1,0)</x:f>
        <x:v>0</x:v>
      </x:c>
      <x:c r="AA55" s="16" t="str">
        <x:f>IF(OR(N55="",O55=""),"",N55-O55)</x:f>
      </x:c>
      <x:c r="AB55" s="16" t="n">
        <x:f>IF(T55=0,S55+U55,(S55+U55)/T55)</x:f>
        <x:v>42</x:v>
      </x:c>
      <x:c r="AC55" t="n">
        <x:f>S55+U55</x:f>
        <x:v>42</x:v>
      </x:c>
      <x:c r="AD55" t="n">
        <x:f>IF(T55=0,1,0)</x:f>
        <x:v>0</x:v>
      </x:c>
      <x:c r="AE55" t="str">
        <x:f>IF(R55&gt;0,"Gain",IF(R55&lt;0,"Loss","Neutral"))</x:f>
        <x:v>Gain</x:v>
      </x:c>
    </x:row>
    <x:row r="56">
      <x:c r="A56" t="n">
        <x:v>55</x:v>
      </x:c>
      <x:c r="B56" s="12" t="n">
        <x:v>46167</x:v>
      </x:c>
      <x:c r="C56" t="str">
        <x:v>May 25</x:v>
      </x:c>
      <x:c r="D56" t="n">
        <x:v>18</x:v>
      </x:c>
      <x:c r="E56" t="n">
        <x:v>11</x:v>
      </x:c>
      <x:c r="F56" s="14" t="n">
        <x:v>6</x:v>
      </x:c>
      <x:c r="G56" t="str">
        <x:v>1w ago</x:v>
      </x:c>
      <x:c r="H56" t="str">
        <x:v>Competitive</x:v>
      </x:c>
      <x:c r="I56" t="str">
        <x:v>Convoy</x:v>
      </x:c>
      <x:c r="J56" t="str">
        <x:v>Spider-Islands</x:v>
      </x:c>
      <x:c r="K56" t="str">
        <x:v>Namor</x:v>
      </x:c>
      <x:c r="L56" t="str">
        <x:v>Win</x:v>
      </x:c>
      <x:c r="M56" t="str"/>
      <x:c r="N56" t="n">
        <x:v>2</x:v>
      </x:c>
      <x:c r="O56" t="n">
        <x:v>0</x:v>
      </x:c>
      <x:c r="P56" t="str">
        <x:v>Grandmaster II</x:v>
      </x:c>
      <x:c r="Q56" t="n">
        <x:v>4638</x:v>
      </x:c>
      <x:c r="R56" s="14" t="n">
        <x:v>21</x:v>
      </x:c>
      <x:c r="S56" t="n">
        <x:v>22</x:v>
      </x:c>
      <x:c r="T56" t="n">
        <x:v>8</x:v>
      </x:c>
      <x:c r="U56" t="n">
        <x:v>1</x:v>
      </x:c>
      <x:c r="V56" s="16" t="n">
        <x:v>2.88</x:v>
      </x:c>
      <x:c r="W56" t="str">
        <x:v>Parsed from Tracker.gg MHTML/PDF export; competitive rows only.</x:v>
      </x:c>
      <x:c r="X56" t="n">
        <x:f>IF(L56="Win",1,0)</x:f>
        <x:v>1</x:v>
      </x:c>
      <x:c r="Y56" s="14" t="n">
        <x:f>IF(L56="Loss",1,0)</x:f>
        <x:v>0</x:v>
      </x:c>
      <x:c r="Z56" t="n">
        <x:f>IF(L56="Draw/Unknown",1,0)</x:f>
        <x:v>0</x:v>
      </x:c>
      <x:c r="AA56" s="16" t="str">
        <x:f>IF(OR(N56="",O56=""),"",N56-O56)</x:f>
      </x:c>
      <x:c r="AB56" s="16" t="n">
        <x:f>IF(T56=0,S56+U56,(S56+U56)/T56)</x:f>
        <x:v>2.875</x:v>
      </x:c>
      <x:c r="AC56" t="n">
        <x:f>S56+U56</x:f>
        <x:v>23</x:v>
      </x:c>
      <x:c r="AD56" t="n">
        <x:f>IF(T56=0,1,0)</x:f>
        <x:v>0</x:v>
      </x:c>
      <x:c r="AE56" t="str">
        <x:f>IF(R56&gt;0,"Gain",IF(R56&lt;0,"Loss","Neutral"))</x:f>
        <x:v>Gain</x:v>
      </x:c>
    </x:row>
    <x:row r="57">
      <x:c r="A57" t="n">
        <x:v>56</x:v>
      </x:c>
      <x:c r="B57" s="12" t="n">
        <x:v>46167</x:v>
      </x:c>
      <x:c r="C57" t="str">
        <x:v>May 25</x:v>
      </x:c>
      <x:c r="D57" t="n">
        <x:v>18</x:v>
      </x:c>
      <x:c r="E57" t="n">
        <x:v>11</x:v>
      </x:c>
      <x:c r="F57" s="14" t="n">
        <x:v>6</x:v>
      </x:c>
      <x:c r="G57" t="str">
        <x:v>1w ago</x:v>
      </x:c>
      <x:c r="H57" t="str">
        <x:v>Competitive</x:v>
      </x:c>
      <x:c r="I57" t="str">
        <x:v>Domination</x:v>
      </x:c>
      <x:c r="J57" t="str">
        <x:v>Krakoa</x:v>
      </x:c>
      <x:c r="K57" t="str">
        <x:v>Peni Parker</x:v>
      </x:c>
      <x:c r="L57" t="str">
        <x:v>Win</x:v>
      </x:c>
      <x:c r="M57" t="str"/>
      <x:c r="N57" t="n">
        <x:v>2</x:v>
      </x:c>
      <x:c r="O57" t="n">
        <x:v>0</x:v>
      </x:c>
      <x:c r="P57" t="str">
        <x:v>Grandmaster II</x:v>
      </x:c>
      <x:c r="Q57" t="n">
        <x:v>4617</x:v>
      </x:c>
      <x:c r="R57" s="14" t="n">
        <x:v>23</x:v>
      </x:c>
      <x:c r="S57" t="n">
        <x:v>13</x:v>
      </x:c>
      <x:c r="T57" t="n">
        <x:v>3</x:v>
      </x:c>
      <x:c r="U57" t="n">
        <x:v>11</x:v>
      </x:c>
      <x:c r="V57" s="16" t="n">
        <x:v>8</x:v>
      </x:c>
      <x:c r="W57" t="str">
        <x:v>Parsed from Tracker.gg MHTML/PDF export; competitive rows only.</x:v>
      </x:c>
      <x:c r="X57" t="n">
        <x:f>IF(L57="Win",1,0)</x:f>
        <x:v>1</x:v>
      </x:c>
      <x:c r="Y57" s="14" t="n">
        <x:f>IF(L57="Loss",1,0)</x:f>
        <x:v>0</x:v>
      </x:c>
      <x:c r="Z57" t="n">
        <x:f>IF(L57="Draw/Unknown",1,0)</x:f>
        <x:v>0</x:v>
      </x:c>
      <x:c r="AA57" s="16" t="str">
        <x:f>IF(OR(N57="",O57=""),"",N57-O57)</x:f>
      </x:c>
      <x:c r="AB57" s="16" t="n">
        <x:f>IF(T57=0,S57+U57,(S57+U57)/T57)</x:f>
        <x:v>8</x:v>
      </x:c>
      <x:c r="AC57" t="n">
        <x:f>S57+U57</x:f>
        <x:v>24</x:v>
      </x:c>
      <x:c r="AD57" t="n">
        <x:f>IF(T57=0,1,0)</x:f>
        <x:v>0</x:v>
      </x:c>
      <x:c r="AE57" t="str">
        <x:f>IF(R57&gt;0,"Gain",IF(R57&lt;0,"Loss","Neutral"))</x:f>
        <x:v>Gain</x:v>
      </x:c>
    </x:row>
    <x:row r="58">
      <x:c r="A58" t="n">
        <x:v>57</x:v>
      </x:c>
      <x:c r="B58" s="12" t="n">
        <x:v>46167</x:v>
      </x:c>
      <x:c r="C58" t="str">
        <x:v>May 25</x:v>
      </x:c>
      <x:c r="D58" t="n">
        <x:v>18</x:v>
      </x:c>
      <x:c r="E58" t="n">
        <x:v>11</x:v>
      </x:c>
      <x:c r="F58" s="14" t="n">
        <x:v>6</x:v>
      </x:c>
      <x:c r="G58" t="str">
        <x:v>1w ago</x:v>
      </x:c>
      <x:c r="H58" t="str">
        <x:v>Competitive</x:v>
      </x:c>
      <x:c r="I58" t="str">
        <x:v>Convoy</x:v>
      </x:c>
      <x:c r="J58" t="str">
        <x:v>Museum of Contemplation</x:v>
      </x:c>
      <x:c r="K58" t="str">
        <x:v>Squirrel Girl</x:v>
      </x:c>
      <x:c r="L58" t="str">
        <x:v>Loss</x:v>
      </x:c>
      <x:c r="M58" t="str"/>
      <x:c r="N58" t="n">
        <x:v>2</x:v>
      </x:c>
      <x:c r="O58" t="n">
        <x:v>1</x:v>
      </x:c>
      <x:c r="P58" t="str">
        <x:v>Grandmaster II</x:v>
      </x:c>
      <x:c r="Q58" t="n">
        <x:v>4594</x:v>
      </x:c>
      <x:c r="R58" s="14" t="n">
        <x:v>-18</x:v>
      </x:c>
      <x:c r="S58" t="n">
        <x:v>21</x:v>
      </x:c>
      <x:c r="T58" t="n">
        <x:v>16</x:v>
      </x:c>
      <x:c r="U58" t="n">
        <x:v>3</x:v>
      </x:c>
      <x:c r="V58" s="16" t="n">
        <x:v>1.5</x:v>
      </x:c>
      <x:c r="W58" t="str">
        <x:v>Parsed from Tracker.gg MHTML/PDF export; competitive rows only.</x:v>
      </x:c>
      <x:c r="X58" t="n">
        <x:f>IF(L58="Win",1,0)</x:f>
        <x:v>0</x:v>
      </x:c>
      <x:c r="Y58" s="14" t="n">
        <x:f>IF(L58="Loss",1,0)</x:f>
        <x:v>1</x:v>
      </x:c>
      <x:c r="Z58" t="n">
        <x:f>IF(L58="Draw/Unknown",1,0)</x:f>
        <x:v>0</x:v>
      </x:c>
      <x:c r="AA58" s="16" t="n">
        <x:f>IF(OR(N58="",O58=""),"",N58-O58)</x:f>
        <x:v>1</x:v>
      </x:c>
      <x:c r="AB58" s="16" t="n">
        <x:f>IF(T58=0,S58+U58,(S58+U58)/T58)</x:f>
        <x:v>1.5</x:v>
      </x:c>
      <x:c r="AC58" t="n">
        <x:f>S58+U58</x:f>
        <x:v>24</x:v>
      </x:c>
      <x:c r="AD58" t="n">
        <x:f>IF(T58=0,1,0)</x:f>
        <x:v>0</x:v>
      </x:c>
      <x:c r="AE58" t="str">
        <x:f>IF(R58&gt;0,"Gain",IF(R58&lt;0,"Loss","Neutral"))</x:f>
        <x:v>Loss</x:v>
      </x:c>
    </x:row>
    <x:row r="59">
      <x:c r="A59" t="n">
        <x:v>58</x:v>
      </x:c>
      <x:c r="B59" s="12" t="n">
        <x:v>46167</x:v>
      </x:c>
      <x:c r="C59" t="str">
        <x:v>May 25</x:v>
      </x:c>
      <x:c r="D59" t="n">
        <x:v>18</x:v>
      </x:c>
      <x:c r="E59" t="n">
        <x:v>11</x:v>
      </x:c>
      <x:c r="F59" s="14" t="n">
        <x:v>6</x:v>
      </x:c>
      <x:c r="G59" t="str">
        <x:v>1w ago</x:v>
      </x:c>
      <x:c r="H59" t="str">
        <x:v>Competitive</x:v>
      </x:c>
      <x:c r="I59" t="str">
        <x:v>Domination</x:v>
      </x:c>
      <x:c r="J59" t="str">
        <x:v>Birnin T'Challa</x:v>
      </x:c>
      <x:c r="K59" t="str">
        <x:v>Cloak &amp; Dagger</x:v>
      </x:c>
      <x:c r="L59" t="str">
        <x:v>Win</x:v>
      </x:c>
      <x:c r="M59" t="str"/>
      <x:c r="N59" t="n">
        <x:v>1</x:v>
      </x:c>
      <x:c r="O59" t="n">
        <x:v>2</x:v>
      </x:c>
      <x:c r="P59" t="str">
        <x:v>Grandmaster II</x:v>
      </x:c>
      <x:c r="Q59" t="n">
        <x:v>4611</x:v>
      </x:c>
      <x:c r="R59" s="14" t="n">
        <x:v>20</x:v>
      </x:c>
      <x:c r="S59" t="n">
        <x:v>9</x:v>
      </x:c>
      <x:c r="T59" t="n">
        <x:v>8</x:v>
      </x:c>
      <x:c r="U59" t="n">
        <x:v>27</x:v>
      </x:c>
      <x:c r="V59" s="16" t="n">
        <x:v>4.5</x:v>
      </x:c>
      <x:c r="W59" t="str">
        <x:v>Parsed from Tracker.gg MHTML/PDF export; competitive rows only.</x:v>
      </x:c>
      <x:c r="X59" t="n">
        <x:f>IF(L59="Win",1,0)</x:f>
        <x:v>1</x:v>
      </x:c>
      <x:c r="Y59" s="14" t="n">
        <x:f>IF(L59="Loss",1,0)</x:f>
        <x:v>0</x:v>
      </x:c>
      <x:c r="Z59" t="n">
        <x:f>IF(L59="Draw/Unknown",1,0)</x:f>
        <x:v>0</x:v>
      </x:c>
      <x:c r="AA59" s="16" t="n">
        <x:f>IF(OR(N59="",O59=""),"",N59-O59)</x:f>
        <x:v>-1</x:v>
      </x:c>
      <x:c r="AB59" s="16" t="n">
        <x:f>IF(T59=0,S59+U59,(S59+U59)/T59)</x:f>
        <x:v>4.5</x:v>
      </x:c>
      <x:c r="AC59" t="n">
        <x:f>S59+U59</x:f>
        <x:v>36</x:v>
      </x:c>
      <x:c r="AD59" t="n">
        <x:f>IF(T59=0,1,0)</x:f>
        <x:v>0</x:v>
      </x:c>
      <x:c r="AE59" t="str">
        <x:f>IF(R59&gt;0,"Gain",IF(R59&lt;0,"Loss","Neutral"))</x:f>
        <x:v>Gain</x:v>
      </x:c>
    </x:row>
    <x:row r="60">
      <x:c r="A60" t="n">
        <x:v>59</x:v>
      </x:c>
      <x:c r="B60" s="12" t="n">
        <x:v>46167</x:v>
      </x:c>
      <x:c r="C60" t="str">
        <x:v>May 25</x:v>
      </x:c>
      <x:c r="D60" t="n">
        <x:v>18</x:v>
      </x:c>
      <x:c r="E60" t="n">
        <x:v>11</x:v>
      </x:c>
      <x:c r="F60" s="14" t="n">
        <x:v>6</x:v>
      </x:c>
      <x:c r="G60" t="str">
        <x:v>1w ago</x:v>
      </x:c>
      <x:c r="H60" t="str">
        <x:v>Competitive</x:v>
      </x:c>
      <x:c r="I60" t="str">
        <x:v>Domination</x:v>
      </x:c>
      <x:c r="J60" t="str">
        <x:v>Hell's Heaven</x:v>
      </x:c>
      <x:c r="K60" t="str">
        <x:v>The Thing</x:v>
      </x:c>
      <x:c r="L60" t="str">
        <x:v>Win</x:v>
      </x:c>
      <x:c r="M60" t="str"/>
      <x:c r="N60" t="n">
        <x:v>1</x:v>
      </x:c>
      <x:c r="O60" t="n">
        <x:v>2</x:v>
      </x:c>
      <x:c r="P60" t="str">
        <x:v>Grandmaster III</x:v>
      </x:c>
      <x:c r="Q60" t="n">
        <x:v>4591</x:v>
      </x:c>
      <x:c r="R60" s="14" t="n">
        <x:v>21</x:v>
      </x:c>
      <x:c r="S60" t="n">
        <x:v>22</x:v>
      </x:c>
      <x:c r="T60" t="n">
        <x:v>10</x:v>
      </x:c>
      <x:c r="U60" t="n">
        <x:v>11</x:v>
      </x:c>
      <x:c r="V60" s="16" t="n">
        <x:v>3.3</x:v>
      </x:c>
      <x:c r="W60" t="str">
        <x:v>Parsed from Tracker.gg MHTML/PDF export; competitive rows only.</x:v>
      </x:c>
      <x:c r="X60" t="n">
        <x:f>IF(L60="Win",1,0)</x:f>
        <x:v>1</x:v>
      </x:c>
      <x:c r="Y60" s="14" t="n">
        <x:f>IF(L60="Loss",1,0)</x:f>
        <x:v>0</x:v>
      </x:c>
      <x:c r="Z60" t="n">
        <x:f>IF(L60="Draw/Unknown",1,0)</x:f>
        <x:v>0</x:v>
      </x:c>
      <x:c r="AA60" s="16" t="n">
        <x:f>IF(OR(N60="",O60=""),"",N60-O60)</x:f>
        <x:v>-1</x:v>
      </x:c>
      <x:c r="AB60" s="16" t="n">
        <x:f>IF(T60=0,S60+U60,(S60+U60)/T60)</x:f>
        <x:v>3.3</x:v>
      </x:c>
      <x:c r="AC60" t="n">
        <x:f>S60+U60</x:f>
        <x:v>33</x:v>
      </x:c>
      <x:c r="AD60" t="n">
        <x:f>IF(T60=0,1,0)</x:f>
        <x:v>0</x:v>
      </x:c>
      <x:c r="AE60" t="str">
        <x:f>IF(R60&gt;0,"Gain",IF(R60&lt;0,"Loss","Neutral"))</x:f>
        <x:v>Gain</x:v>
      </x:c>
    </x:row>
    <x:row r="61">
      <x:c r="A61" t="n">
        <x:v>60</x:v>
      </x:c>
      <x:c r="B61" s="12" t="n">
        <x:v>46167</x:v>
      </x:c>
      <x:c r="C61" t="str">
        <x:v>May 25</x:v>
      </x:c>
      <x:c r="D61" t="n">
        <x:v>18</x:v>
      </x:c>
      <x:c r="E61" t="n">
        <x:v>11</x:v>
      </x:c>
      <x:c r="F61" s="14" t="n">
        <x:v>6</x:v>
      </x:c>
      <x:c r="G61" t="str">
        <x:v>1w ago</x:v>
      </x:c>
      <x:c r="H61" t="str">
        <x:v>Competitive</x:v>
      </x:c>
      <x:c r="I61" t="str">
        <x:v>Convergence</x:v>
      </x:c>
      <x:c r="J61" t="str">
        <x:v>Shin-Shibuya</x:v>
      </x:c>
      <x:c r="K61" t="str">
        <x:v>Storm</x:v>
      </x:c>
      <x:c r="L61" t="str">
        <x:v>Win</x:v>
      </x:c>
      <x:c r="M61" t="str"/>
      <x:c r="N61" t="n">
        <x:v>3</x:v>
      </x:c>
      <x:c r="O61" t="n">
        <x:v>0</x:v>
      </x:c>
      <x:c r="P61" t="str">
        <x:v>Grandmaster III</x:v>
      </x:c>
      <x:c r="Q61" t="n">
        <x:v>4569</x:v>
      </x:c>
      <x:c r="R61" s="14" t="n">
        <x:v>19</x:v>
      </x:c>
      <x:c r="S61" t="n">
        <x:v>28</x:v>
      </x:c>
      <x:c r="T61" t="n">
        <x:v>5</x:v>
      </x:c>
      <x:c r="U61" t="n">
        <x:v>41</x:v>
      </x:c>
      <x:c r="V61" s="16" t="n">
        <x:v>13.8</x:v>
      </x:c>
      <x:c r="W61" t="str">
        <x:v>Parsed from Tracker.gg MHTML/PDF export; competitive rows only.</x:v>
      </x:c>
      <x:c r="X61" t="n">
        <x:f>IF(L61="Win",1,0)</x:f>
        <x:v>1</x:v>
      </x:c>
      <x:c r="Y61" s="14" t="n">
        <x:f>IF(L61="Loss",1,0)</x:f>
        <x:v>0</x:v>
      </x:c>
      <x:c r="Z61" t="n">
        <x:f>IF(L61="Draw/Unknown",1,0)</x:f>
        <x:v>0</x:v>
      </x:c>
      <x:c r="AA61" s="16" t="str">
        <x:f>IF(OR(N61="",O61=""),"",N61-O61)</x:f>
      </x:c>
      <x:c r="AB61" s="16" t="n">
        <x:f>IF(T61=0,S61+U61,(S61+U61)/T61)</x:f>
        <x:v>13.8</x:v>
      </x:c>
      <x:c r="AC61" t="n">
        <x:f>S61+U61</x:f>
        <x:v>69</x:v>
      </x:c>
      <x:c r="AD61" t="n">
        <x:f>IF(T61=0,1,0)</x:f>
        <x:v>0</x:v>
      </x:c>
      <x:c r="AE61" t="str">
        <x:f>IF(R61&gt;0,"Gain",IF(R61&lt;0,"Loss","Neutral"))</x:f>
        <x:v>Gain</x:v>
      </x:c>
    </x:row>
    <x:row r="62">
      <x:c r="A62" t="n">
        <x:v>61</x:v>
      </x:c>
      <x:c r="B62" s="12" t="n">
        <x:v>46167</x:v>
      </x:c>
      <x:c r="C62" t="str">
        <x:v>May 25</x:v>
      </x:c>
      <x:c r="D62" t="n">
        <x:v>18</x:v>
      </x:c>
      <x:c r="E62" t="n">
        <x:v>11</x:v>
      </x:c>
      <x:c r="F62" s="14" t="n">
        <x:v>6</x:v>
      </x:c>
      <x:c r="G62" t="str">
        <x:v>1w ago</x:v>
      </x:c>
      <x:c r="H62" t="str">
        <x:v>Competitive</x:v>
      </x:c>
      <x:c r="I62" t="str">
        <x:v>Convergence</x:v>
      </x:c>
      <x:c r="J62" t="str">
        <x:v>Unknown / not captured</x:v>
      </x:c>
      <x:c r="K62" t="str">
        <x:v>Cloak &amp; Dagger</x:v>
      </x:c>
      <x:c r="L62" t="str">
        <x:v>Loss</x:v>
      </x:c>
      <x:c r="M62" t="str"/>
      <x:c r="N62" t="n">
        <x:v>3</x:v>
      </x:c>
      <x:c r="O62" t="n">
        <x:v>0</x:v>
      </x:c>
      <x:c r="P62" t="str">
        <x:v>Grandmaster III</x:v>
      </x:c>
      <x:c r="Q62" t="n">
        <x:v>4550</x:v>
      </x:c>
      <x:c r="R62" s="14" t="n">
        <x:v>-23</x:v>
      </x:c>
      <x:c r="S62" t="n">
        <x:v>6</x:v>
      </x:c>
      <x:c r="T62" t="n">
        <x:v>8</x:v>
      </x:c>
      <x:c r="U62" t="n">
        <x:v>5</x:v>
      </x:c>
      <x:c r="V62" s="16" t="n">
        <x:v>1.38</x:v>
      </x:c>
      <x:c r="W62" t="str">
        <x:v>Parsed from Tracker.gg MHTML/PDF export; competitive rows only.</x:v>
      </x:c>
      <x:c r="X62" t="n">
        <x:f>IF(L62="Win",1,0)</x:f>
        <x:v>0</x:v>
      </x:c>
      <x:c r="Y62" s="14" t="n">
        <x:f>IF(L62="Loss",1,0)</x:f>
        <x:v>1</x:v>
      </x:c>
      <x:c r="Z62" t="n">
        <x:f>IF(L62="Draw/Unknown",1,0)</x:f>
        <x:v>0</x:v>
      </x:c>
      <x:c r="AA62" s="16" t="str">
        <x:f>IF(OR(N62="",O62=""),"",N62-O62)</x:f>
      </x:c>
      <x:c r="AB62" s="16" t="n">
        <x:f>IF(T62=0,S62+U62,(S62+U62)/T62)</x:f>
        <x:v>1.375</x:v>
      </x:c>
      <x:c r="AC62" t="n">
        <x:f>S62+U62</x:f>
        <x:v>11</x:v>
      </x:c>
      <x:c r="AD62" t="n">
        <x:f>IF(T62=0,1,0)</x:f>
        <x:v>0</x:v>
      </x:c>
      <x:c r="AE62" t="str">
        <x:f>IF(R62&gt;0,"Gain",IF(R62&lt;0,"Loss","Neutral"))</x:f>
        <x:v>Loss</x:v>
      </x:c>
    </x:row>
    <x:row r="63">
      <x:c r="A63" t="n">
        <x:v>62</x:v>
      </x:c>
      <x:c r="B63" s="12" t="n">
        <x:v>46167</x:v>
      </x:c>
      <x:c r="C63" t="str">
        <x:v>May 25</x:v>
      </x:c>
      <x:c r="D63" t="n">
        <x:v>18</x:v>
      </x:c>
      <x:c r="E63" t="n">
        <x:v>11</x:v>
      </x:c>
      <x:c r="F63" s="14" t="n">
        <x:v>6</x:v>
      </x:c>
      <x:c r="G63" t="str">
        <x:v>1w ago</x:v>
      </x:c>
      <x:c r="H63" t="str">
        <x:v>Competitive</x:v>
      </x:c>
      <x:c r="I63" t="str">
        <x:v>Convergence</x:v>
      </x:c>
      <x:c r="J63" t="str">
        <x:v>Hall Of Djalia</x:v>
      </x:c>
      <x:c r="K63" t="str">
        <x:v>The Thing</x:v>
      </x:c>
      <x:c r="L63" t="str">
        <x:v>Loss</x:v>
      </x:c>
      <x:c r="M63" t="str"/>
      <x:c r="N63" t="n">
        <x:v>3</x:v>
      </x:c>
      <x:c r="O63" t="n">
        <x:v>0</x:v>
      </x:c>
      <x:c r="P63" t="str">
        <x:v>Grandmaster III</x:v>
      </x:c>
      <x:c r="Q63" t="n">
        <x:v>4573</x:v>
      </x:c>
      <x:c r="R63" s="14" t="n">
        <x:v>-20</x:v>
      </x:c>
      <x:c r="S63" t="n">
        <x:v>2</x:v>
      </x:c>
      <x:c r="T63" t="n">
        <x:v>11</x:v>
      </x:c>
      <x:c r="U63" t="n">
        <x:v>2</x:v>
      </x:c>
      <x:c r="V63" s="16" t="n">
        <x:v>0.36</x:v>
      </x:c>
      <x:c r="W63" t="str">
        <x:v>Parsed from Tracker.gg MHTML/PDF export; competitive rows only.</x:v>
      </x:c>
      <x:c r="X63" t="n">
        <x:f>IF(L63="Win",1,0)</x:f>
        <x:v>0</x:v>
      </x:c>
      <x:c r="Y63" s="14" t="n">
        <x:f>IF(L63="Loss",1,0)</x:f>
        <x:v>1</x:v>
      </x:c>
      <x:c r="Z63" t="n">
        <x:f>IF(L63="Draw/Unknown",1,0)</x:f>
        <x:v>0</x:v>
      </x:c>
      <x:c r="AA63" s="16" t="str">
        <x:f>IF(OR(N63="",O63=""),"",N63-O63)</x:f>
      </x:c>
      <x:c r="AB63" s="16" t="n">
        <x:f>IF(T63=0,S63+U63,(S63+U63)/T63)</x:f>
        <x:v>0.36363636363636365</x:v>
      </x:c>
      <x:c r="AC63" t="n">
        <x:f>S63+U63</x:f>
        <x:v>4</x:v>
      </x:c>
      <x:c r="AD63" t="n">
        <x:f>IF(T63=0,1,0)</x:f>
        <x:v>0</x:v>
      </x:c>
      <x:c r="AE63" t="str">
        <x:f>IF(R63&gt;0,"Gain",IF(R63&lt;0,"Loss","Neutral"))</x:f>
        <x:v>Loss</x:v>
      </x:c>
    </x:row>
    <x:row r="64">
      <x:c r="A64" t="n">
        <x:v>63</x:v>
      </x:c>
      <x:c r="B64" s="12" t="n">
        <x:v>46167</x:v>
      </x:c>
      <x:c r="C64" t="str">
        <x:v>May 25</x:v>
      </x:c>
      <x:c r="D64" t="n">
        <x:v>18</x:v>
      </x:c>
      <x:c r="E64" t="n">
        <x:v>11</x:v>
      </x:c>
      <x:c r="F64" s="14" t="n">
        <x:v>6</x:v>
      </x:c>
      <x:c r="G64" t="str">
        <x:v>1w ago</x:v>
      </x:c>
      <x:c r="H64" t="str">
        <x:v>Competitive</x:v>
      </x:c>
      <x:c r="I64" t="str">
        <x:v>Domination</x:v>
      </x:c>
      <x:c r="J64" t="str">
        <x:v>Celestial Husk</x:v>
      </x:c>
      <x:c r="K64" t="str">
        <x:v>Peni Parker</x:v>
      </x:c>
      <x:c r="L64" t="str">
        <x:v>Win</x:v>
      </x:c>
      <x:c r="M64" t="str"/>
      <x:c r="N64" t="n">
        <x:v>2</x:v>
      </x:c>
      <x:c r="O64" t="n">
        <x:v>0</x:v>
      </x:c>
      <x:c r="P64" t="str">
        <x:v>Grandmaster III</x:v>
      </x:c>
      <x:c r="Q64" t="n">
        <x:v>4592</x:v>
      </x:c>
      <x:c r="R64" s="14" t="n">
        <x:v>20</x:v>
      </x:c>
      <x:c r="S64" t="n">
        <x:v>11</x:v>
      </x:c>
      <x:c r="T64" t="n">
        <x:v>2</x:v>
      </x:c>
      <x:c r="U64" t="n">
        <x:v>11</x:v>
      </x:c>
      <x:c r="V64" s="16" t="n">
        <x:v>11</x:v>
      </x:c>
      <x:c r="W64" t="str">
        <x:v>Parsed from Tracker.gg MHTML/PDF export; competitive rows only.</x:v>
      </x:c>
      <x:c r="X64" t="n">
        <x:f>IF(L64="Win",1,0)</x:f>
        <x:v>1</x:v>
      </x:c>
      <x:c r="Y64" s="14" t="n">
        <x:f>IF(L64="Loss",1,0)</x:f>
        <x:v>0</x:v>
      </x:c>
      <x:c r="Z64" t="n">
        <x:f>IF(L64="Draw/Unknown",1,0)</x:f>
        <x:v>0</x:v>
      </x:c>
      <x:c r="AA64" s="16" t="str">
        <x:f>IF(OR(N64="",O64=""),"",N64-O64)</x:f>
      </x:c>
      <x:c r="AB64" s="16" t="n">
        <x:f>IF(T64=0,S64+U64,(S64+U64)/T64)</x:f>
        <x:v>11</x:v>
      </x:c>
      <x:c r="AC64" t="n">
        <x:f>S64+U64</x:f>
        <x:v>22</x:v>
      </x:c>
      <x:c r="AD64" t="n">
        <x:f>IF(T64=0,1,0)</x:f>
        <x:v>0</x:v>
      </x:c>
      <x:c r="AE64" t="str">
        <x:f>IF(R64&gt;0,"Gain",IF(R64&lt;0,"Loss","Neutral"))</x:f>
        <x:v>Gain</x:v>
      </x:c>
    </x:row>
    <x:row r="65">
      <x:c r="A65" t="n">
        <x:v>64</x:v>
      </x:c>
      <x:c r="B65" s="12" t="n">
        <x:v>46167</x:v>
      </x:c>
      <x:c r="C65" t="str">
        <x:v>May 25</x:v>
      </x:c>
      <x:c r="D65" t="n">
        <x:v>18</x:v>
      </x:c>
      <x:c r="E65" t="n">
        <x:v>11</x:v>
      </x:c>
      <x:c r="F65" s="14" t="n">
        <x:v>6</x:v>
      </x:c>
      <x:c r="G65" t="str">
        <x:v>1w ago</x:v>
      </x:c>
      <x:c r="H65" t="str">
        <x:v>Competitive</x:v>
      </x:c>
      <x:c r="I65" t="str">
        <x:v>Convergence</x:v>
      </x:c>
      <x:c r="J65" t="str">
        <x:v>Symbiotic Surface</x:v>
      </x:c>
      <x:c r="K65" t="str">
        <x:v>Squirrel Girl</x:v>
      </x:c>
      <x:c r="L65" t="str">
        <x:v>Win</x:v>
      </x:c>
      <x:c r="M65" t="str"/>
      <x:c r="N65" t="n">
        <x:v>3</x:v>
      </x:c>
      <x:c r="O65" t="n">
        <x:v>4</x:v>
      </x:c>
      <x:c r="P65" t="str">
        <x:v>Grandmaster III</x:v>
      </x:c>
      <x:c r="Q65" t="n">
        <x:v>4572</x:v>
      </x:c>
      <x:c r="R65" s="14" t="n">
        <x:v>21</x:v>
      </x:c>
      <x:c r="S65" t="n">
        <x:v>40</x:v>
      </x:c>
      <x:c r="T65" t="n">
        <x:v>8</x:v>
      </x:c>
      <x:c r="U65" t="n">
        <x:v>13</x:v>
      </x:c>
      <x:c r="V65" s="16" t="n">
        <x:v>6.62</x:v>
      </x:c>
      <x:c r="W65" t="str">
        <x:v>Parsed from Tracker.gg MHTML/PDF export; competitive rows only.</x:v>
      </x:c>
      <x:c r="X65" t="n">
        <x:f>IF(L65="Win",1,0)</x:f>
        <x:v>1</x:v>
      </x:c>
      <x:c r="Y65" s="14" t="n">
        <x:f>IF(L65="Loss",1,0)</x:f>
        <x:v>0</x:v>
      </x:c>
      <x:c r="Z65" t="n">
        <x:f>IF(L65="Draw/Unknown",1,0)</x:f>
        <x:v>0</x:v>
      </x:c>
      <x:c r="AA65" s="16" t="n">
        <x:f>IF(OR(N65="",O65=""),"",N65-O65)</x:f>
        <x:v>-1</x:v>
      </x:c>
      <x:c r="AB65" s="16" t="n">
        <x:f>IF(T65=0,S65+U65,(S65+U65)/T65)</x:f>
        <x:v>6.625</x:v>
      </x:c>
      <x:c r="AC65" t="n">
        <x:f>S65+U65</x:f>
        <x:v>53</x:v>
      </x:c>
      <x:c r="AD65" t="n">
        <x:f>IF(T65=0,1,0)</x:f>
        <x:v>0</x:v>
      </x:c>
      <x:c r="AE65" t="str">
        <x:f>IF(R65&gt;0,"Gain",IF(R65&lt;0,"Loss","Neutral"))</x:f>
        <x:v>Gain</x:v>
      </x:c>
    </x:row>
    <x:row r="66">
      <x:c r="A66" t="n">
        <x:v>65</x:v>
      </x:c>
      <x:c r="B66" s="12" t="n">
        <x:v>46167</x:v>
      </x:c>
      <x:c r="C66" t="str">
        <x:v>May 25</x:v>
      </x:c>
      <x:c r="D66" t="n">
        <x:v>18</x:v>
      </x:c>
      <x:c r="E66" t="n">
        <x:v>11</x:v>
      </x:c>
      <x:c r="F66" s="14" t="n">
        <x:v>6</x:v>
      </x:c>
      <x:c r="G66" t="str">
        <x:v>1w ago</x:v>
      </x:c>
      <x:c r="H66" t="str">
        <x:v>Competitive</x:v>
      </x:c>
      <x:c r="I66" t="str">
        <x:v>Convergence</x:v>
      </x:c>
      <x:c r="J66" t="str">
        <x:v>Central Park</x:v>
      </x:c>
      <x:c r="K66" t="str">
        <x:v>Rogue</x:v>
      </x:c>
      <x:c r="L66" t="str">
        <x:v>Loss</x:v>
      </x:c>
      <x:c r="M66" t="str"/>
      <x:c r="N66" t="n">
        <x:v>3</x:v>
      </x:c>
      <x:c r="O66" t="n">
        <x:v>2</x:v>
      </x:c>
      <x:c r="P66" t="str">
        <x:v>Grandmaster III</x:v>
      </x:c>
      <x:c r="Q66" t="n">
        <x:v>4551</x:v>
      </x:c>
      <x:c r="R66" s="14" t="n">
        <x:v>-21</x:v>
      </x:c>
      <x:c r="S66" t="n">
        <x:v>24</x:v>
      </x:c>
      <x:c r="T66" t="n">
        <x:v>14</x:v>
      </x:c>
      <x:c r="U66" t="n">
        <x:v>4</x:v>
      </x:c>
      <x:c r="V66" s="16" t="n">
        <x:v>2</x:v>
      </x:c>
      <x:c r="W66" t="str">
        <x:v>Parsed from Tracker.gg MHTML/PDF export; competitive rows only.</x:v>
      </x:c>
      <x:c r="X66" t="n">
        <x:f>IF(L66="Win",1,0)</x:f>
        <x:v>0</x:v>
      </x:c>
      <x:c r="Y66" s="14" t="n">
        <x:f>IF(L66="Loss",1,0)</x:f>
        <x:v>1</x:v>
      </x:c>
      <x:c r="Z66" t="n">
        <x:f>IF(L66="Draw/Unknown",1,0)</x:f>
        <x:v>0</x:v>
      </x:c>
      <x:c r="AA66" s="16" t="n">
        <x:f>IF(OR(N66="",O66=""),"",N66-O66)</x:f>
        <x:v>1</x:v>
      </x:c>
      <x:c r="AB66" s="16" t="n">
        <x:f>IF(T66=0,S66+U66,(S66+U66)/T66)</x:f>
        <x:v>2</x:v>
      </x:c>
      <x:c r="AC66" t="n">
        <x:f>S66+U66</x:f>
        <x:v>28</x:v>
      </x:c>
      <x:c r="AD66" t="n">
        <x:f>IF(T66=0,1,0)</x:f>
        <x:v>0</x:v>
      </x:c>
      <x:c r="AE66" t="str">
        <x:f>IF(R66&gt;0,"Gain",IF(R66&lt;0,"Loss","Neutral"))</x:f>
        <x:v>Loss</x:v>
      </x:c>
    </x:row>
    <x:row r="67">
      <x:c r="A67" t="n">
        <x:v>66</x:v>
      </x:c>
      <x:c r="B67" s="12" t="n">
        <x:v>46167</x:v>
      </x:c>
      <x:c r="C67" t="str">
        <x:v>May 25</x:v>
      </x:c>
      <x:c r="D67" t="n">
        <x:v>18</x:v>
      </x:c>
      <x:c r="E67" t="n">
        <x:v>11</x:v>
      </x:c>
      <x:c r="F67" s="14" t="n">
        <x:v>6</x:v>
      </x:c>
      <x:c r="G67" t="str">
        <x:v>1w ago</x:v>
      </x:c>
      <x:c r="H67" t="str">
        <x:v>Competitive</x:v>
      </x:c>
      <x:c r="I67" t="str">
        <x:v>Convergence</x:v>
      </x:c>
      <x:c r="J67" t="str">
        <x:v>Hall Of Djalia</x:v>
      </x:c>
      <x:c r="K67" t="str">
        <x:v>Rogue</x:v>
      </x:c>
      <x:c r="L67" t="str">
        <x:v>Draw/Unknown</x:v>
      </x:c>
      <x:c r="M67" t="str"/>
      <x:c r="N67" t="n">
        <x:v>3</x:v>
      </x:c>
      <x:c r="O67" t="n">
        <x:v>3</x:v>
      </x:c>
      <x:c r="P67" t="str">
        <x:v>Grandmaster III</x:v>
      </x:c>
      <x:c r="Q67" t="n">
        <x:v>4571</x:v>
      </x:c>
      <x:c r="R67" s="14" t="n">
        <x:v>-1</x:v>
      </x:c>
      <x:c r="S67" t="n">
        <x:v>26</x:v>
      </x:c>
      <x:c r="T67" t="n">
        <x:v>6</x:v>
      </x:c>
      <x:c r="U67" t="n">
        <x:v>17</x:v>
      </x:c>
      <x:c r="V67" s="16" t="n">
        <x:v>7.17</x:v>
      </x:c>
      <x:c r="W67" t="str">
        <x:v>Parsed from Tracker.gg MHTML/PDF export; competitive rows only.</x:v>
      </x:c>
      <x:c r="X67" t="n">
        <x:f>IF(L67="Win",1,0)</x:f>
        <x:v>0</x:v>
      </x:c>
      <x:c r="Y67" s="14" t="n">
        <x:f>IF(L67="Loss",1,0)</x:f>
        <x:v>0</x:v>
      </x:c>
      <x:c r="Z67" t="n">
        <x:f>IF(L67="Draw/Unknown",1,0)</x:f>
        <x:v>1</x:v>
      </x:c>
      <x:c r="AA67" s="16" t="n">
        <x:f>IF(OR(N67="",O67=""),"",N67-O67)</x:f>
        <x:v>0</x:v>
      </x:c>
      <x:c r="AB67" s="16" t="n">
        <x:f>IF(T67=0,S67+U67,(S67+U67)/T67)</x:f>
        <x:v>7.166666666666667</x:v>
      </x:c>
      <x:c r="AC67" t="n">
        <x:f>S67+U67</x:f>
        <x:v>43</x:v>
      </x:c>
      <x:c r="AD67" t="n">
        <x:f>IF(T67=0,1,0)</x:f>
        <x:v>0</x:v>
      </x:c>
      <x:c r="AE67" t="str">
        <x:f>IF(R67&gt;0,"Gain",IF(R67&lt;0,"Loss","Neutral"))</x:f>
        <x:v>Loss</x:v>
      </x:c>
    </x:row>
    <x:row r="68">
      <x:c r="A68" t="n">
        <x:v>67</x:v>
      </x:c>
      <x:c r="B68" s="12" t="n">
        <x:v>46167</x:v>
      </x:c>
      <x:c r="C68" t="str">
        <x:v>May 25</x:v>
      </x:c>
      <x:c r="D68" t="n">
        <x:v>18</x:v>
      </x:c>
      <x:c r="E68" t="n">
        <x:v>11</x:v>
      </x:c>
      <x:c r="F68" s="14" t="n">
        <x:v>6</x:v>
      </x:c>
      <x:c r="G68" t="str">
        <x:v>1w ago</x:v>
      </x:c>
      <x:c r="H68" t="str">
        <x:v>Competitive</x:v>
      </x:c>
      <x:c r="I68" t="str">
        <x:v>Convergence</x:v>
      </x:c>
      <x:c r="J68" t="str">
        <x:v>Unknown / not captured</x:v>
      </x:c>
      <x:c r="K68" t="str">
        <x:v>Namor</x:v>
      </x:c>
      <x:c r="L68" t="str">
        <x:v>Win</x:v>
      </x:c>
      <x:c r="M68" t="str"/>
      <x:c r="N68" t="n">
        <x:v>0</x:v>
      </x:c>
      <x:c r="O68" t="n">
        <x:v>1</x:v>
      </x:c>
      <x:c r="P68" t="str">
        <x:v>Grandmaster III</x:v>
      </x:c>
      <x:c r="Q68" t="n">
        <x:v>4572</x:v>
      </x:c>
      <x:c r="R68" s="14" t="n">
        <x:v>21</x:v>
      </x:c>
      <x:c r="S68" t="n">
        <x:v>19</x:v>
      </x:c>
      <x:c r="T68" t="n">
        <x:v>0</x:v>
      </x:c>
      <x:c r="U68" t="n">
        <x:v>2</x:v>
      </x:c>
      <x:c r="V68" s="16" t="n">
        <x:v>21</x:v>
      </x:c>
      <x:c r="W68" t="str">
        <x:v>Parsed from Tracker.gg MHTML/PDF export; competitive rows only.</x:v>
      </x:c>
      <x:c r="X68" t="n">
        <x:f>IF(L68="Win",1,0)</x:f>
        <x:v>1</x:v>
      </x:c>
      <x:c r="Y68" s="14" t="n">
        <x:f>IF(L68="Loss",1,0)</x:f>
        <x:v>0</x:v>
      </x:c>
      <x:c r="Z68" t="n">
        <x:f>IF(L68="Draw/Unknown",1,0)</x:f>
        <x:v>0</x:v>
      </x:c>
      <x:c r="AA68" s="16" t="str">
        <x:f>IF(OR(N68="",O68=""),"",N68-O68)</x:f>
      </x:c>
      <x:c r="AB68" s="16" t="n">
        <x:f>IF(T68=0,S68+U68,(S68+U68)/T68)</x:f>
        <x:v>21</x:v>
      </x:c>
      <x:c r="AC68" t="n">
        <x:f>S68+U68</x:f>
        <x:v>21</x:v>
      </x:c>
      <x:c r="AD68" t="n">
        <x:f>IF(T68=0,1,0)</x:f>
        <x:v>1</x:v>
      </x:c>
      <x:c r="AE68" t="str">
        <x:f>IF(R68&gt;0,"Gain",IF(R68&lt;0,"Loss","Neutral"))</x:f>
        <x:v>Gain</x:v>
      </x:c>
    </x:row>
    <x:row r="69">
      <x:c r="A69" t="n">
        <x:v>68</x:v>
      </x:c>
      <x:c r="B69" s="12" t="n">
        <x:v>46167</x:v>
      </x:c>
      <x:c r="C69" t="str">
        <x:v>May 25</x:v>
      </x:c>
      <x:c r="D69" t="n">
        <x:v>18</x:v>
      </x:c>
      <x:c r="E69" t="n">
        <x:v>11</x:v>
      </x:c>
      <x:c r="F69" s="14" t="n">
        <x:v>6</x:v>
      </x:c>
      <x:c r="G69" t="str">
        <x:v>1w ago</x:v>
      </x:c>
      <x:c r="H69" t="str">
        <x:v>Competitive</x:v>
      </x:c>
      <x:c r="I69" t="str">
        <x:v>Convoy</x:v>
      </x:c>
      <x:c r="J69" t="str">
        <x:v>Museum of Contemplation</x:v>
      </x:c>
      <x:c r="K69" t="str">
        <x:v>Groot</x:v>
      </x:c>
      <x:c r="L69" t="str">
        <x:v>Loss</x:v>
      </x:c>
      <x:c r="M69" t="str"/>
      <x:c r="N69" t="n">
        <x:v>1</x:v>
      </x:c>
      <x:c r="O69" t="n">
        <x:v>2</x:v>
      </x:c>
      <x:c r="P69" t="str">
        <x:v>Grandmaster III</x:v>
      </x:c>
      <x:c r="Q69" t="n">
        <x:v>4551</x:v>
      </x:c>
      <x:c r="R69" s="14" t="n">
        <x:v>-23</x:v>
      </x:c>
      <x:c r="S69" t="n">
        <x:v>20</x:v>
      </x:c>
      <x:c r="T69" t="n">
        <x:v>12</x:v>
      </x:c>
      <x:c r="U69" t="n">
        <x:v>7</x:v>
      </x:c>
      <x:c r="V69" s="16" t="n">
        <x:v>2.25</x:v>
      </x:c>
      <x:c r="W69" t="str">
        <x:v>Parsed from Tracker.gg MHTML/PDF export; competitive rows only.</x:v>
      </x:c>
      <x:c r="X69" t="n">
        <x:f>IF(L69="Win",1,0)</x:f>
        <x:v>0</x:v>
      </x:c>
      <x:c r="Y69" s="14" t="n">
        <x:f>IF(L69="Loss",1,0)</x:f>
        <x:v>1</x:v>
      </x:c>
      <x:c r="Z69" t="n">
        <x:f>IF(L69="Draw/Unknown",1,0)</x:f>
        <x:v>0</x:v>
      </x:c>
      <x:c r="AA69" s="16" t="n">
        <x:f>IF(OR(N69="",O69=""),"",N69-O69)</x:f>
        <x:v>-1</x:v>
      </x:c>
      <x:c r="AB69" s="16" t="n">
        <x:f>IF(T69=0,S69+U69,(S69+U69)/T69)</x:f>
        <x:v>2.25</x:v>
      </x:c>
      <x:c r="AC69" t="n">
        <x:f>S69+U69</x:f>
        <x:v>27</x:v>
      </x:c>
      <x:c r="AD69" t="n">
        <x:f>IF(T69=0,1,0)</x:f>
        <x:v>0</x:v>
      </x:c>
      <x:c r="AE69" t="str">
        <x:f>IF(R69&gt;0,"Gain",IF(R69&lt;0,"Loss","Neutral"))</x:f>
        <x:v>Loss</x:v>
      </x:c>
    </x:row>
    <x:row r="70">
      <x:c r="A70" t="n">
        <x:v>69</x:v>
      </x:c>
      <x:c r="B70" s="12" t="n">
        <x:v>46167</x:v>
      </x:c>
      <x:c r="C70" t="str">
        <x:v>May 25</x:v>
      </x:c>
      <x:c r="D70" t="n">
        <x:v>18</x:v>
      </x:c>
      <x:c r="E70" t="n">
        <x:v>11</x:v>
      </x:c>
      <x:c r="F70" s="14" t="n">
        <x:v>6</x:v>
      </x:c>
      <x:c r="G70" t="str">
        <x:v>1w ago</x:v>
      </x:c>
      <x:c r="H70" t="str">
        <x:v>Competitive</x:v>
      </x:c>
      <x:c r="I70" t="str">
        <x:v>Convoy</x:v>
      </x:c>
      <x:c r="J70" t="str">
        <x:v>Midtown</x:v>
      </x:c>
      <x:c r="K70" t="str">
        <x:v>Peni Parker</x:v>
      </x:c>
      <x:c r="L70" t="str">
        <x:v>Win</x:v>
      </x:c>
      <x:c r="M70" t="str">
        <x:v>MVP</x:v>
      </x:c>
      <x:c r="N70" t="n">
        <x:v>0</x:v>
      </x:c>
      <x:c r="O70" t="n">
        <x:v>0</x:v>
      </x:c>
      <x:c r="P70" t="str">
        <x:v>Grandmaster III</x:v>
      </x:c>
      <x:c r="Q70" t="n">
        <x:v>4574</x:v>
      </x:c>
      <x:c r="R70" s="14" t="n">
        <x:v>23</x:v>
      </x:c>
      <x:c r="S70" t="n">
        <x:v>13</x:v>
      </x:c>
      <x:c r="T70" t="n">
        <x:v>0</x:v>
      </x:c>
      <x:c r="U70" t="n">
        <x:v>16</x:v>
      </x:c>
      <x:c r="V70" s="16" t="n">
        <x:v>29</x:v>
      </x:c>
      <x:c r="W70" t="str">
        <x:v>Parsed from Tracker.gg MHTML/PDF export; competitive rows only.</x:v>
      </x:c>
      <x:c r="X70" t="n">
        <x:f>IF(L70="Win",1,0)</x:f>
        <x:v>1</x:v>
      </x:c>
      <x:c r="Y70" s="14" t="n">
        <x:f>IF(L70="Loss",1,0)</x:f>
        <x:v>0</x:v>
      </x:c>
      <x:c r="Z70" t="n">
        <x:f>IF(L70="Draw/Unknown",1,0)</x:f>
        <x:v>0</x:v>
      </x:c>
      <x:c r="AA70" s="16" t="str">
        <x:f>IF(OR(N70="",O70=""),"",N70-O70)</x:f>
      </x:c>
      <x:c r="AB70" s="16" t="n">
        <x:f>IF(T70=0,S70+U70,(S70+U70)/T70)</x:f>
        <x:v>29</x:v>
      </x:c>
      <x:c r="AC70" t="n">
        <x:f>S70+U70</x:f>
        <x:v>29</x:v>
      </x:c>
      <x:c r="AD70" t="n">
        <x:f>IF(T70=0,1,0)</x:f>
        <x:v>1</x:v>
      </x:c>
      <x:c r="AE70" t="str">
        <x:f>IF(R70&gt;0,"Gain",IF(R70&lt;0,"Loss","Neutral"))</x:f>
        <x:v>Gain</x:v>
      </x:c>
    </x:row>
    <x:row r="71">
      <x:c r="A71" t="n">
        <x:v>70</x:v>
      </x:c>
      <x:c r="B71" s="12" t="n">
        <x:v>46166</x:v>
      </x:c>
      <x:c r="C71" t="str">
        <x:v>May 24</x:v>
      </x:c>
      <x:c r="D71" t="n">
        <x:v>27</x:v>
      </x:c>
      <x:c r="E71" t="n">
        <x:v>16</x:v>
      </x:c>
      <x:c r="F71" s="14" t="n">
        <x:v>11</x:v>
      </x:c>
      <x:c r="G71" t="str">
        <x:v>1w ago</x:v>
      </x:c>
      <x:c r="H71" t="str">
        <x:v>Competitive</x:v>
      </x:c>
      <x:c r="I71" t="str">
        <x:v>Convergence</x:v>
      </x:c>
      <x:c r="J71" t="str">
        <x:v>Shin-Shibuya</x:v>
      </x:c>
      <x:c r="K71" t="str">
        <x:v>The Thing</x:v>
      </x:c>
      <x:c r="L71" t="str">
        <x:v>Win</x:v>
      </x:c>
      <x:c r="M71" t="str"/>
      <x:c r="N71" t="n">
        <x:v>1</x:v>
      </x:c>
      <x:c r="O71" t="n">
        <x:v>2</x:v>
      </x:c>
      <x:c r="P71" t="str">
        <x:v>Grandmaster III</x:v>
      </x:c>
      <x:c r="Q71" t="n">
        <x:v>4550</x:v>
      </x:c>
      <x:c r="R71" s="14" t="n">
        <x:v>20</x:v>
      </x:c>
      <x:c r="S71" t="n">
        <x:v>21</x:v>
      </x:c>
      <x:c r="T71" t="n">
        <x:v>7</x:v>
      </x:c>
      <x:c r="U71" t="n">
        <x:v>5</x:v>
      </x:c>
      <x:c r="V71" s="16" t="n">
        <x:v>3.71</x:v>
      </x:c>
      <x:c r="W71" t="str">
        <x:v>Parsed from Tracker.gg MHTML/PDF export; competitive rows only.</x:v>
      </x:c>
      <x:c r="X71" t="n">
        <x:f>IF(L71="Win",1,0)</x:f>
        <x:v>1</x:v>
      </x:c>
      <x:c r="Y71" s="14" t="n">
        <x:f>IF(L71="Loss",1,0)</x:f>
        <x:v>0</x:v>
      </x:c>
      <x:c r="Z71" t="n">
        <x:f>IF(L71="Draw/Unknown",1,0)</x:f>
        <x:v>0</x:v>
      </x:c>
      <x:c r="AA71" s="16" t="n">
        <x:f>IF(OR(N71="",O71=""),"",N71-O71)</x:f>
        <x:v>-1</x:v>
      </x:c>
      <x:c r="AB71" s="16" t="n">
        <x:f>IF(T71=0,S71+U71,(S71+U71)/T71)</x:f>
        <x:v>3.7142857142857144</x:v>
      </x:c>
      <x:c r="AC71" t="n">
        <x:f>S71+U71</x:f>
        <x:v>26</x:v>
      </x:c>
      <x:c r="AD71" t="n">
        <x:f>IF(T71=0,1,0)</x:f>
        <x:v>0</x:v>
      </x:c>
      <x:c r="AE71" t="str">
        <x:f>IF(R71&gt;0,"Gain",IF(R71&lt;0,"Loss","Neutral"))</x:f>
        <x:v>Gain</x:v>
      </x:c>
    </x:row>
    <x:row r="72">
      <x:c r="A72" t="n">
        <x:v>71</x:v>
      </x:c>
      <x:c r="B72" s="12" t="n">
        <x:v>46166</x:v>
      </x:c>
      <x:c r="C72" t="str">
        <x:v>May 24</x:v>
      </x:c>
      <x:c r="D72" t="n">
        <x:v>27</x:v>
      </x:c>
      <x:c r="E72" t="n">
        <x:v>16</x:v>
      </x:c>
      <x:c r="F72" s="14" t="n">
        <x:v>11</x:v>
      </x:c>
      <x:c r="G72" t="str">
        <x:v>1w ago</x:v>
      </x:c>
      <x:c r="H72" t="str">
        <x:v>Competitive</x:v>
      </x:c>
      <x:c r="I72" t="str">
        <x:v>Convergence</x:v>
      </x:c>
      <x:c r="J72" t="str">
        <x:v>Hall Of Djalia</x:v>
      </x:c>
      <x:c r="K72" t="str">
        <x:v>Peni Parker</x:v>
      </x:c>
      <x:c r="L72" t="str">
        <x:v>Win</x:v>
      </x:c>
      <x:c r="M72" t="str"/>
      <x:c r="N72" t="n">
        <x:v>0</x:v>
      </x:c>
      <x:c r="O72" t="n">
        <x:v>0</x:v>
      </x:c>
      <x:c r="P72" t="str">
        <x:v>Grandmaster III</x:v>
      </x:c>
      <x:c r="Q72" t="n">
        <x:v>4530</x:v>
      </x:c>
      <x:c r="R72" s="14" t="n">
        <x:v>20</x:v>
      </x:c>
      <x:c r="S72" t="n">
        <x:v>9</x:v>
      </x:c>
      <x:c r="T72" t="n">
        <x:v>0</x:v>
      </x:c>
      <x:c r="U72" t="n">
        <x:v>13</x:v>
      </x:c>
      <x:c r="V72" s="16" t="n">
        <x:v>22</x:v>
      </x:c>
      <x:c r="W72" t="str">
        <x:v>Parsed from Tracker.gg MHTML/PDF export; competitive rows only.</x:v>
      </x:c>
      <x:c r="X72" t="n">
        <x:f>IF(L72="Win",1,0)</x:f>
        <x:v>1</x:v>
      </x:c>
      <x:c r="Y72" s="14" t="n">
        <x:f>IF(L72="Loss",1,0)</x:f>
        <x:v>0</x:v>
      </x:c>
      <x:c r="Z72" t="n">
        <x:f>IF(L72="Draw/Unknown",1,0)</x:f>
        <x:v>0</x:v>
      </x:c>
      <x:c r="AA72" s="16" t="str">
        <x:f>IF(OR(N72="",O72=""),"",N72-O72)</x:f>
      </x:c>
      <x:c r="AB72" s="16" t="n">
        <x:f>IF(T72=0,S72+U72,(S72+U72)/T72)</x:f>
        <x:v>22</x:v>
      </x:c>
      <x:c r="AC72" t="n">
        <x:f>S72+U72</x:f>
        <x:v>22</x:v>
      </x:c>
      <x:c r="AD72" t="n">
        <x:f>IF(T72=0,1,0)</x:f>
        <x:v>1</x:v>
      </x:c>
      <x:c r="AE72" t="str">
        <x:f>IF(R72&gt;0,"Gain",IF(R72&lt;0,"Loss","Neutral"))</x:f>
        <x:v>Gain</x:v>
      </x:c>
    </x:row>
    <x:row r="73">
      <x:c r="A73" t="n">
        <x:v>72</x:v>
      </x:c>
      <x:c r="B73" s="12" t="n">
        <x:v>46166</x:v>
      </x:c>
      <x:c r="C73" t="str">
        <x:v>May 24</x:v>
      </x:c>
      <x:c r="D73" t="n">
        <x:v>27</x:v>
      </x:c>
      <x:c r="E73" t="n">
        <x:v>16</x:v>
      </x:c>
      <x:c r="F73" s="14" t="n">
        <x:v>11</x:v>
      </x:c>
      <x:c r="G73" t="str">
        <x:v>1w ago</x:v>
      </x:c>
      <x:c r="H73" t="str">
        <x:v>Competitive</x:v>
      </x:c>
      <x:c r="I73" t="str">
        <x:v>Convoy</x:v>
      </x:c>
      <x:c r="J73" t="str">
        <x:v>Museum of Contemplation</x:v>
      </x:c>
      <x:c r="K73" t="str">
        <x:v>Storm</x:v>
      </x:c>
      <x:c r="L73" t="str">
        <x:v>Loss</x:v>
      </x:c>
      <x:c r="M73" t="str"/>
      <x:c r="N73" t="n">
        <x:v>2</x:v>
      </x:c>
      <x:c r="O73" t="n">
        <x:v>3</x:v>
      </x:c>
      <x:c r="P73" t="str">
        <x:v>Grandmaster III</x:v>
      </x:c>
      <x:c r="Q73" t="n">
        <x:v>4509</x:v>
      </x:c>
      <x:c r="R73" s="14" t="n">
        <x:v>-20</x:v>
      </x:c>
      <x:c r="S73" t="n">
        <x:v>33</x:v>
      </x:c>
      <x:c r="T73" t="n">
        <x:v>12</x:v>
      </x:c>
      <x:c r="U73" t="n">
        <x:v>14</x:v>
      </x:c>
      <x:c r="V73" s="16" t="n">
        <x:v>3.92</x:v>
      </x:c>
      <x:c r="W73" t="str">
        <x:v>Parsed from Tracker.gg MHTML/PDF export; competitive rows only.</x:v>
      </x:c>
      <x:c r="X73" t="n">
        <x:f>IF(L73="Win",1,0)</x:f>
        <x:v>0</x:v>
      </x:c>
      <x:c r="Y73" s="14" t="n">
        <x:f>IF(L73="Loss",1,0)</x:f>
        <x:v>1</x:v>
      </x:c>
      <x:c r="Z73" t="n">
        <x:f>IF(L73="Draw/Unknown",1,0)</x:f>
        <x:v>0</x:v>
      </x:c>
      <x:c r="AA73" s="16" t="n">
        <x:f>IF(OR(N73="",O73=""),"",N73-O73)</x:f>
        <x:v>-1</x:v>
      </x:c>
      <x:c r="AB73" s="16" t="n">
        <x:f>IF(T73=0,S73+U73,(S73+U73)/T73)</x:f>
        <x:v>3.9166666666666665</x:v>
      </x:c>
      <x:c r="AC73" t="n">
        <x:f>S73+U73</x:f>
        <x:v>47</x:v>
      </x:c>
      <x:c r="AD73" t="n">
        <x:f>IF(T73=0,1,0)</x:f>
        <x:v>0</x:v>
      </x:c>
      <x:c r="AE73" t="str">
        <x:f>IF(R73&gt;0,"Gain",IF(R73&lt;0,"Loss","Neutral"))</x:f>
        <x:v>Loss</x:v>
      </x:c>
    </x:row>
    <x:row r="74">
      <x:c r="A74" t="n">
        <x:v>73</x:v>
      </x:c>
      <x:c r="B74" s="12" t="n">
        <x:v>46166</x:v>
      </x:c>
      <x:c r="C74" t="str">
        <x:v>May 24</x:v>
      </x:c>
      <x:c r="D74" t="n">
        <x:v>27</x:v>
      </x:c>
      <x:c r="E74" t="n">
        <x:v>16</x:v>
      </x:c>
      <x:c r="F74" s="14" t="n">
        <x:v>11</x:v>
      </x:c>
      <x:c r="G74" t="str">
        <x:v>1w ago</x:v>
      </x:c>
      <x:c r="H74" t="str">
        <x:v>Competitive</x:v>
      </x:c>
      <x:c r="I74" t="str">
        <x:v>Domination</x:v>
      </x:c>
      <x:c r="J74" t="str">
        <x:v>Birnin T'Challa</x:v>
      </x:c>
      <x:c r="K74" t="str">
        <x:v>Peni Parker</x:v>
      </x:c>
      <x:c r="L74" t="str">
        <x:v>Win</x:v>
      </x:c>
      <x:c r="M74" t="str"/>
      <x:c r="N74" t="n">
        <x:v>2</x:v>
      </x:c>
      <x:c r="O74" t="n">
        <x:v>0</x:v>
      </x:c>
      <x:c r="P74" t="str">
        <x:v>Grandmaster III</x:v>
      </x:c>
      <x:c r="Q74" t="n">
        <x:v>4528</x:v>
      </x:c>
      <x:c r="R74" s="14" t="n">
        <x:v>21</x:v>
      </x:c>
      <x:c r="S74" t="n">
        <x:v>15</x:v>
      </x:c>
      <x:c r="T74" t="n">
        <x:v>2</x:v>
      </x:c>
      <x:c r="U74" t="n">
        <x:v>11</x:v>
      </x:c>
      <x:c r="V74" s="16" t="n">
        <x:v>13</x:v>
      </x:c>
      <x:c r="W74" t="str">
        <x:v>Parsed from Tracker.gg MHTML/PDF export; competitive rows only.</x:v>
      </x:c>
      <x:c r="X74" t="n">
        <x:f>IF(L74="Win",1,0)</x:f>
        <x:v>1</x:v>
      </x:c>
      <x:c r="Y74" s="14" t="n">
        <x:f>IF(L74="Loss",1,0)</x:f>
        <x:v>0</x:v>
      </x:c>
      <x:c r="Z74" t="n">
        <x:f>IF(L74="Draw/Unknown",1,0)</x:f>
        <x:v>0</x:v>
      </x:c>
      <x:c r="AA74" s="16" t="str">
        <x:f>IF(OR(N74="",O74=""),"",N74-O74)</x:f>
      </x:c>
      <x:c r="AB74" s="16" t="n">
        <x:f>IF(T74=0,S74+U74,(S74+U74)/T74)</x:f>
        <x:v>13</x:v>
      </x:c>
      <x:c r="AC74" t="n">
        <x:f>S74+U74</x:f>
        <x:v>26</x:v>
      </x:c>
      <x:c r="AD74" t="n">
        <x:f>IF(T74=0,1,0)</x:f>
        <x:v>0</x:v>
      </x:c>
      <x:c r="AE74" t="str">
        <x:f>IF(R74&gt;0,"Gain",IF(R74&lt;0,"Loss","Neutral"))</x:f>
        <x:v>Gain</x:v>
      </x:c>
    </x:row>
    <x:row r="75">
      <x:c r="A75" t="n">
        <x:v>74</x:v>
      </x:c>
      <x:c r="B75" s="12" t="n">
        <x:v>46166</x:v>
      </x:c>
      <x:c r="C75" t="str">
        <x:v>May 24</x:v>
      </x:c>
      <x:c r="D75" t="n">
        <x:v>27</x:v>
      </x:c>
      <x:c r="E75" t="n">
        <x:v>16</x:v>
      </x:c>
      <x:c r="F75" s="14" t="n">
        <x:v>11</x:v>
      </x:c>
      <x:c r="G75" t="str">
        <x:v>1w ago</x:v>
      </x:c>
      <x:c r="H75" t="str">
        <x:v>Competitive</x:v>
      </x:c>
      <x:c r="I75" t="str">
        <x:v>Convergence</x:v>
      </x:c>
      <x:c r="J75" t="str">
        <x:v>Unknown / not captured</x:v>
      </x:c>
      <x:c r="K75" t="str">
        <x:v>The Thing</x:v>
      </x:c>
      <x:c r="L75" t="str">
        <x:v>Loss</x:v>
      </x:c>
      <x:c r="M75" t="str"/>
      <x:c r="N75" t="n">
        <x:v>3</x:v>
      </x:c>
      <x:c r="O75" t="n">
        <x:v>0</x:v>
      </x:c>
      <x:c r="P75" t="str">
        <x:v>Grandmaster III</x:v>
      </x:c>
      <x:c r="Q75" t="n">
        <x:v>4506</x:v>
      </x:c>
      <x:c r="R75" s="14" t="n">
        <x:v>-22</x:v>
      </x:c>
      <x:c r="S75" t="n">
        <x:v>2</x:v>
      </x:c>
      <x:c r="T75" t="n">
        <x:v>8</x:v>
      </x:c>
      <x:c r="U75" t="n">
        <x:v>2</x:v>
      </x:c>
      <x:c r="V75" s="16" t="n">
        <x:v>0.5</x:v>
      </x:c>
      <x:c r="W75" t="str">
        <x:v>Parsed from Tracker.gg MHTML/PDF export; competitive rows only.</x:v>
      </x:c>
      <x:c r="X75" t="n">
        <x:f>IF(L75="Win",1,0)</x:f>
        <x:v>0</x:v>
      </x:c>
      <x:c r="Y75" s="14" t="n">
        <x:f>IF(L75="Loss",1,0)</x:f>
        <x:v>1</x:v>
      </x:c>
      <x:c r="Z75" t="n">
        <x:f>IF(L75="Draw/Unknown",1,0)</x:f>
        <x:v>0</x:v>
      </x:c>
      <x:c r="AA75" s="16" t="str">
        <x:f>IF(OR(N75="",O75=""),"",N75-O75)</x:f>
      </x:c>
      <x:c r="AB75" s="16" t="n">
        <x:f>IF(T75=0,S75+U75,(S75+U75)/T75)</x:f>
        <x:v>0.5</x:v>
      </x:c>
      <x:c r="AC75" t="n">
        <x:f>S75+U75</x:f>
        <x:v>4</x:v>
      </x:c>
      <x:c r="AD75" t="n">
        <x:f>IF(T75=0,1,0)</x:f>
        <x:v>0</x:v>
      </x:c>
      <x:c r="AE75" t="str">
        <x:f>IF(R75&gt;0,"Gain",IF(R75&lt;0,"Loss","Neutral"))</x:f>
        <x:v>Loss</x:v>
      </x:c>
    </x:row>
    <x:row r="76">
      <x:c r="A76" t="n">
        <x:v>75</x:v>
      </x:c>
      <x:c r="B76" s="12" t="n">
        <x:v>46166</x:v>
      </x:c>
      <x:c r="C76" t="str">
        <x:v>May 24</x:v>
      </x:c>
      <x:c r="D76" t="n">
        <x:v>27</x:v>
      </x:c>
      <x:c r="E76" t="n">
        <x:v>16</x:v>
      </x:c>
      <x:c r="F76" s="14" t="n">
        <x:v>11</x:v>
      </x:c>
      <x:c r="G76" t="str">
        <x:v>1w ago</x:v>
      </x:c>
      <x:c r="H76" t="str">
        <x:v>Competitive</x:v>
      </x:c>
      <x:c r="I76" t="str">
        <x:v>Convergence</x:v>
      </x:c>
      <x:c r="J76" t="str">
        <x:v>Heart Of Heaven</x:v>
      </x:c>
      <x:c r="K76" t="str">
        <x:v>Rogue</x:v>
      </x:c>
      <x:c r="L76" t="str">
        <x:v>Loss</x:v>
      </x:c>
      <x:c r="M76" t="str"/>
      <x:c r="N76" t="n">
        <x:v>2</x:v>
      </x:c>
      <x:c r="O76" t="n">
        <x:v>3</x:v>
      </x:c>
      <x:c r="P76" t="str">
        <x:v>Grandmaster III</x:v>
      </x:c>
      <x:c r="Q76" t="n">
        <x:v>4527</x:v>
      </x:c>
      <x:c r="R76" s="14" t="n">
        <x:v>-21</x:v>
      </x:c>
      <x:c r="S76" t="n">
        <x:v>28</x:v>
      </x:c>
      <x:c r="T76" t="n">
        <x:v>15</x:v>
      </x:c>
      <x:c r="U76" t="n">
        <x:v>10</x:v>
      </x:c>
      <x:c r="V76" s="16" t="n">
        <x:v>2.53</x:v>
      </x:c>
      <x:c r="W76" t="str">
        <x:v>Parsed from Tracker.gg MHTML/PDF export; competitive rows only.</x:v>
      </x:c>
      <x:c r="X76" t="n">
        <x:f>IF(L76="Win",1,0)</x:f>
        <x:v>0</x:v>
      </x:c>
      <x:c r="Y76" s="14" t="n">
        <x:f>IF(L76="Loss",1,0)</x:f>
        <x:v>1</x:v>
      </x:c>
      <x:c r="Z76" t="n">
        <x:f>IF(L76="Draw/Unknown",1,0)</x:f>
        <x:v>0</x:v>
      </x:c>
      <x:c r="AA76" s="16" t="n">
        <x:f>IF(OR(N76="",O76=""),"",N76-O76)</x:f>
        <x:v>-1</x:v>
      </x:c>
      <x:c r="AB76" s="16" t="n">
        <x:f>IF(T76=0,S76+U76,(S76+U76)/T76)</x:f>
        <x:v>2.533333333333333</x:v>
      </x:c>
      <x:c r="AC76" t="n">
        <x:f>S76+U76</x:f>
        <x:v>38</x:v>
      </x:c>
      <x:c r="AD76" t="n">
        <x:f>IF(T76=0,1,0)</x:f>
        <x:v>0</x:v>
      </x:c>
      <x:c r="AE76" t="str">
        <x:f>IF(R76&gt;0,"Gain",IF(R76&lt;0,"Loss","Neutral"))</x:f>
        <x:v>Loss</x:v>
      </x:c>
    </x:row>
    <x:row r="77">
      <x:c r="A77" t="n">
        <x:v>76</x:v>
      </x:c>
      <x:c r="B77" s="12" t="n">
        <x:v>46166</x:v>
      </x:c>
      <x:c r="C77" t="str">
        <x:v>May 24</x:v>
      </x:c>
      <x:c r="D77" t="n">
        <x:v>27</x:v>
      </x:c>
      <x:c r="E77" t="n">
        <x:v>16</x:v>
      </x:c>
      <x:c r="F77" s="14" t="n">
        <x:v>11</x:v>
      </x:c>
      <x:c r="G77" t="str">
        <x:v>1w ago</x:v>
      </x:c>
      <x:c r="H77" t="str">
        <x:v>Competitive</x:v>
      </x:c>
      <x:c r="I77" t="str">
        <x:v>Convoy</x:v>
      </x:c>
      <x:c r="J77" t="str">
        <x:v>Yggdrasill Path</x:v>
      </x:c>
      <x:c r="K77" t="str">
        <x:v>Cloak &amp; Dagger</x:v>
      </x:c>
      <x:c r="L77" t="str">
        <x:v>Loss</x:v>
      </x:c>
      <x:c r="M77" t="str"/>
      <x:c r="N77" t="n">
        <x:v>1</x:v>
      </x:c>
      <x:c r="O77" t="n">
        <x:v>2</x:v>
      </x:c>
      <x:c r="P77" t="str">
        <x:v>Grandmaster III</x:v>
      </x:c>
      <x:c r="Q77" t="n">
        <x:v>4548</x:v>
      </x:c>
      <x:c r="R77" s="14" t="n">
        <x:v>-19</x:v>
      </x:c>
      <x:c r="S77" t="n">
        <x:v>13</x:v>
      </x:c>
      <x:c r="T77" t="n">
        <x:v>8</x:v>
      </x:c>
      <x:c r="U77" t="n">
        <x:v>7</x:v>
      </x:c>
      <x:c r="V77" s="16" t="n">
        <x:v>2.5</x:v>
      </x:c>
      <x:c r="W77" t="str">
        <x:v>Parsed from Tracker.gg MHTML/PDF export; competitive rows only.</x:v>
      </x:c>
      <x:c r="X77" t="n">
        <x:f>IF(L77="Win",1,0)</x:f>
        <x:v>0</x:v>
      </x:c>
      <x:c r="Y77" s="14" t="n">
        <x:f>IF(L77="Loss",1,0)</x:f>
        <x:v>1</x:v>
      </x:c>
      <x:c r="Z77" t="n">
        <x:f>IF(L77="Draw/Unknown",1,0)</x:f>
        <x:v>0</x:v>
      </x:c>
      <x:c r="AA77" s="16" t="n">
        <x:f>IF(OR(N77="",O77=""),"",N77-O77)</x:f>
        <x:v>-1</x:v>
      </x:c>
      <x:c r="AB77" s="16" t="n">
        <x:f>IF(T77=0,S77+U77,(S77+U77)/T77)</x:f>
        <x:v>2.5</x:v>
      </x:c>
      <x:c r="AC77" t="n">
        <x:f>S77+U77</x:f>
        <x:v>20</x:v>
      </x:c>
      <x:c r="AD77" t="n">
        <x:f>IF(T77=0,1,0)</x:f>
        <x:v>0</x:v>
      </x:c>
      <x:c r="AE77" t="str">
        <x:f>IF(R77&gt;0,"Gain",IF(R77&lt;0,"Loss","Neutral"))</x:f>
        <x:v>Loss</x:v>
      </x:c>
    </x:row>
    <x:row r="78">
      <x:c r="A78" t="n">
        <x:v>77</x:v>
      </x:c>
      <x:c r="B78" s="12" t="n">
        <x:v>46166</x:v>
      </x:c>
      <x:c r="C78" t="str">
        <x:v>May 24</x:v>
      </x:c>
      <x:c r="D78" t="n">
        <x:v>27</x:v>
      </x:c>
      <x:c r="E78" t="n">
        <x:v>16</x:v>
      </x:c>
      <x:c r="F78" s="14" t="n">
        <x:v>11</x:v>
      </x:c>
      <x:c r="G78" t="str">
        <x:v>1w ago</x:v>
      </x:c>
      <x:c r="H78" t="str">
        <x:v>Competitive</x:v>
      </x:c>
      <x:c r="I78" t="str">
        <x:v>Convergence</x:v>
      </x:c>
      <x:c r="J78" t="str">
        <x:v>Shin-Shibuya</x:v>
      </x:c>
      <x:c r="K78" t="str">
        <x:v>Groot</x:v>
      </x:c>
      <x:c r="L78" t="str">
        <x:v>Loss</x:v>
      </x:c>
      <x:c r="M78" t="str"/>
      <x:c r="N78" t="n">
        <x:v>3</x:v>
      </x:c>
      <x:c r="O78" t="n">
        <x:v>1</x:v>
      </x:c>
      <x:c r="P78" t="str">
        <x:v>Grandmaster III</x:v>
      </x:c>
      <x:c r="Q78" t="n">
        <x:v>4566</x:v>
      </x:c>
      <x:c r="R78" s="14" t="n">
        <x:v>-22</x:v>
      </x:c>
      <x:c r="S78" t="n">
        <x:v>7</x:v>
      </x:c>
      <x:c r="T78" t="n">
        <x:v>15</x:v>
      </x:c>
      <x:c r="U78" t="n">
        <x:v>0</x:v>
      </x:c>
      <x:c r="V78" s="16" t="n">
        <x:v>0.47</x:v>
      </x:c>
      <x:c r="W78" t="str">
        <x:v>Parsed from Tracker.gg MHTML/PDF export; competitive rows only.</x:v>
      </x:c>
      <x:c r="X78" t="n">
        <x:f>IF(L78="Win",1,0)</x:f>
        <x:v>0</x:v>
      </x:c>
      <x:c r="Y78" s="14" t="n">
        <x:f>IF(L78="Loss",1,0)</x:f>
        <x:v>1</x:v>
      </x:c>
      <x:c r="Z78" t="n">
        <x:f>IF(L78="Draw/Unknown",1,0)</x:f>
        <x:v>0</x:v>
      </x:c>
      <x:c r="AA78" s="16" t="n">
        <x:f>IF(OR(N78="",O78=""),"",N78-O78)</x:f>
        <x:v>2</x:v>
      </x:c>
      <x:c r="AB78" s="16" t="n">
        <x:f>IF(T78=0,S78+U78,(S78+U78)/T78)</x:f>
        <x:v>0.4666666666666667</x:v>
      </x:c>
      <x:c r="AC78" t="n">
        <x:f>S78+U78</x:f>
        <x:v>7</x:v>
      </x:c>
      <x:c r="AD78" t="n">
        <x:f>IF(T78=0,1,0)</x:f>
        <x:v>0</x:v>
      </x:c>
      <x:c r="AE78" t="str">
        <x:f>IF(R78&gt;0,"Gain",IF(R78&lt;0,"Loss","Neutral"))</x:f>
        <x:v>Loss</x:v>
      </x:c>
    </x:row>
    <x:row r="79">
      <x:c r="A79" t="n">
        <x:v>78</x:v>
      </x:c>
      <x:c r="B79" s="12" t="n">
        <x:v>46166</x:v>
      </x:c>
      <x:c r="C79" t="str">
        <x:v>May 24</x:v>
      </x:c>
      <x:c r="D79" t="n">
        <x:v>27</x:v>
      </x:c>
      <x:c r="E79" t="n">
        <x:v>16</x:v>
      </x:c>
      <x:c r="F79" s="14" t="n">
        <x:v>11</x:v>
      </x:c>
      <x:c r="G79" t="str">
        <x:v>1w ago</x:v>
      </x:c>
      <x:c r="H79" t="str">
        <x:v>Competitive</x:v>
      </x:c>
      <x:c r="I79" t="str">
        <x:v>Convoy</x:v>
      </x:c>
      <x:c r="J79" t="str">
        <x:v>Museum of Contemplation</x:v>
      </x:c>
      <x:c r="K79" t="str">
        <x:v>Peni Parker</x:v>
      </x:c>
      <x:c r="L79" t="str">
        <x:v>Win</x:v>
      </x:c>
      <x:c r="M79" t="str"/>
      <x:c r="N79" t="n">
        <x:v>2</x:v>
      </x:c>
      <x:c r="O79" t="n">
        <x:v>1</x:v>
      </x:c>
      <x:c r="P79" t="str">
        <x:v>Grandmaster III</x:v>
      </x:c>
      <x:c r="Q79" t="n">
        <x:v>4587</x:v>
      </x:c>
      <x:c r="R79" s="14" t="n">
        <x:v>20</x:v>
      </x:c>
      <x:c r="S79" t="n">
        <x:v>33</x:v>
      </x:c>
      <x:c r="T79" t="n">
        <x:v>11</x:v>
      </x:c>
      <x:c r="U79" t="n">
        <x:v>19</x:v>
      </x:c>
      <x:c r="V79" s="16" t="n">
        <x:v>4.73</x:v>
      </x:c>
      <x:c r="W79" t="str">
        <x:v>Parsed from Tracker.gg MHTML/PDF export; competitive rows only.</x:v>
      </x:c>
      <x:c r="X79" t="n">
        <x:f>IF(L79="Win",1,0)</x:f>
        <x:v>1</x:v>
      </x:c>
      <x:c r="Y79" s="14" t="n">
        <x:f>IF(L79="Loss",1,0)</x:f>
        <x:v>0</x:v>
      </x:c>
      <x:c r="Z79" t="n">
        <x:f>IF(L79="Draw/Unknown",1,0)</x:f>
        <x:v>0</x:v>
      </x:c>
      <x:c r="AA79" s="16" t="n">
        <x:f>IF(OR(N79="",O79=""),"",N79-O79)</x:f>
        <x:v>1</x:v>
      </x:c>
      <x:c r="AB79" s="16" t="n">
        <x:f>IF(T79=0,S79+U79,(S79+U79)/T79)</x:f>
        <x:v>4.7272727272727275</x:v>
      </x:c>
      <x:c r="AC79" t="n">
        <x:f>S79+U79</x:f>
        <x:v>52</x:v>
      </x:c>
      <x:c r="AD79" t="n">
        <x:f>IF(T79=0,1,0)</x:f>
        <x:v>0</x:v>
      </x:c>
      <x:c r="AE79" t="str">
        <x:f>IF(R79&gt;0,"Gain",IF(R79&lt;0,"Loss","Neutral"))</x:f>
        <x:v>Gain</x:v>
      </x:c>
    </x:row>
    <x:row r="80">
      <x:c r="A80" t="n">
        <x:v>79</x:v>
      </x:c>
      <x:c r="B80" s="12" t="n">
        <x:v>46166</x:v>
      </x:c>
      <x:c r="C80" t="str">
        <x:v>May 24</x:v>
      </x:c>
      <x:c r="D80" t="n">
        <x:v>27</x:v>
      </x:c>
      <x:c r="E80" t="n">
        <x:v>16</x:v>
      </x:c>
      <x:c r="F80" s="14" t="n">
        <x:v>11</x:v>
      </x:c>
      <x:c r="G80" t="str">
        <x:v>1w ago</x:v>
      </x:c>
      <x:c r="H80" t="str">
        <x:v>Competitive</x:v>
      </x:c>
      <x:c r="I80" t="str">
        <x:v>Convoy</x:v>
      </x:c>
      <x:c r="J80" t="str">
        <x:v>Midtown</x:v>
      </x:c>
      <x:c r="K80" t="str">
        <x:v>Cloak &amp; Dagger</x:v>
      </x:c>
      <x:c r="L80" t="str">
        <x:v>Loss</x:v>
      </x:c>
      <x:c r="M80" t="str"/>
      <x:c r="N80" t="n">
        <x:v>2</x:v>
      </x:c>
      <x:c r="O80" t="n">
        <x:v>3</x:v>
      </x:c>
      <x:c r="P80" t="str">
        <x:v>Grandmaster III</x:v>
      </x:c>
      <x:c r="Q80" t="n">
        <x:v>4567</x:v>
      </x:c>
      <x:c r="R80" s="14" t="n">
        <x:v>-23</x:v>
      </x:c>
      <x:c r="S80" t="n">
        <x:v>15</x:v>
      </x:c>
      <x:c r="T80" t="n">
        <x:v>9</x:v>
      </x:c>
      <x:c r="U80" t="n">
        <x:v>24</x:v>
      </x:c>
      <x:c r="V80" s="16" t="n">
        <x:v>4.33</x:v>
      </x:c>
      <x:c r="W80" t="str">
        <x:v>Parsed from Tracker.gg MHTML/PDF export; competitive rows only.</x:v>
      </x:c>
      <x:c r="X80" t="n">
        <x:f>IF(L80="Win",1,0)</x:f>
        <x:v>0</x:v>
      </x:c>
      <x:c r="Y80" s="14" t="n">
        <x:f>IF(L80="Loss",1,0)</x:f>
        <x:v>1</x:v>
      </x:c>
      <x:c r="Z80" t="n">
        <x:f>IF(L80="Draw/Unknown",1,0)</x:f>
        <x:v>0</x:v>
      </x:c>
      <x:c r="AA80" s="16" t="n">
        <x:f>IF(OR(N80="",O80=""),"",N80-O80)</x:f>
        <x:v>-1</x:v>
      </x:c>
      <x:c r="AB80" s="16" t="n">
        <x:f>IF(T80=0,S80+U80,(S80+U80)/T80)</x:f>
        <x:v>4.333333333333333</x:v>
      </x:c>
      <x:c r="AC80" t="n">
        <x:f>S80+U80</x:f>
        <x:v>39</x:v>
      </x:c>
      <x:c r="AD80" t="n">
        <x:f>IF(T80=0,1,0)</x:f>
        <x:v>0</x:v>
      </x:c>
      <x:c r="AE80" t="str">
        <x:f>IF(R80&gt;0,"Gain",IF(R80&lt;0,"Loss","Neutral"))</x:f>
        <x:v>Loss</x:v>
      </x:c>
    </x:row>
    <x:row r="81">
      <x:c r="A81" t="n">
        <x:v>80</x:v>
      </x:c>
      <x:c r="B81" s="12" t="n">
        <x:v>46166</x:v>
      </x:c>
      <x:c r="C81" t="str">
        <x:v>May 24</x:v>
      </x:c>
      <x:c r="D81" t="n">
        <x:v>27</x:v>
      </x:c>
      <x:c r="E81" t="n">
        <x:v>16</x:v>
      </x:c>
      <x:c r="F81" s="14" t="n">
        <x:v>11</x:v>
      </x:c>
      <x:c r="G81" t="str">
        <x:v>1w ago</x:v>
      </x:c>
      <x:c r="H81" t="str">
        <x:v>Competitive</x:v>
      </x:c>
      <x:c r="I81" t="str">
        <x:v>Convergence</x:v>
      </x:c>
      <x:c r="J81" t="str">
        <x:v>Hall Of Djalia</x:v>
      </x:c>
      <x:c r="K81" t="str">
        <x:v>Squirrel Girl</x:v>
      </x:c>
      <x:c r="L81" t="str">
        <x:v>Loss</x:v>
      </x:c>
      <x:c r="M81" t="str"/>
      <x:c r="N81" t="n">
        <x:v>2</x:v>
      </x:c>
      <x:c r="O81" t="n">
        <x:v>0</x:v>
      </x:c>
      <x:c r="P81" t="str">
        <x:v>Grandmaster II</x:v>
      </x:c>
      <x:c r="Q81" t="n">
        <x:v>4590</x:v>
      </x:c>
      <x:c r="R81" s="14" t="n">
        <x:v>-20</x:v>
      </x:c>
      <x:c r="S81" t="n">
        <x:v>12</x:v>
      </x:c>
      <x:c r="T81" t="n">
        <x:v>11</x:v>
      </x:c>
      <x:c r="U81" t="n">
        <x:v>0</x:v>
      </x:c>
      <x:c r="V81" s="16" t="n">
        <x:v>1.09</x:v>
      </x:c>
      <x:c r="W81" t="str">
        <x:v>Parsed from Tracker.gg MHTML/PDF export; competitive rows only.</x:v>
      </x:c>
      <x:c r="X81" t="n">
        <x:f>IF(L81="Win",1,0)</x:f>
        <x:v>0</x:v>
      </x:c>
      <x:c r="Y81" s="14" t="n">
        <x:f>IF(L81="Loss",1,0)</x:f>
        <x:v>1</x:v>
      </x:c>
      <x:c r="Z81" t="n">
        <x:f>IF(L81="Draw/Unknown",1,0)</x:f>
        <x:v>0</x:v>
      </x:c>
      <x:c r="AA81" s="16" t="str">
        <x:f>IF(OR(N81="",O81=""),"",N81-O81)</x:f>
      </x:c>
      <x:c r="AB81" s="16" t="n">
        <x:f>IF(T81=0,S81+U81,(S81+U81)/T81)</x:f>
        <x:v>1.0909090909090908</x:v>
      </x:c>
      <x:c r="AC81" t="n">
        <x:f>S81+U81</x:f>
        <x:v>12</x:v>
      </x:c>
      <x:c r="AD81" t="n">
        <x:f>IF(T81=0,1,0)</x:f>
        <x:v>0</x:v>
      </x:c>
      <x:c r="AE81" t="str">
        <x:f>IF(R81&gt;0,"Gain",IF(R81&lt;0,"Loss","Neutral"))</x:f>
        <x:v>Loss</x:v>
      </x:c>
    </x:row>
    <x:row r="82">
      <x:c r="A82" t="n">
        <x:v>81</x:v>
      </x:c>
      <x:c r="B82" s="12" t="n">
        <x:v>46166</x:v>
      </x:c>
      <x:c r="C82" t="str">
        <x:v>May 24</x:v>
      </x:c>
      <x:c r="D82" t="n">
        <x:v>27</x:v>
      </x:c>
      <x:c r="E82" t="n">
        <x:v>16</x:v>
      </x:c>
      <x:c r="F82" s="14" t="n">
        <x:v>11</x:v>
      </x:c>
      <x:c r="G82" t="str">
        <x:v>1w ago</x:v>
      </x:c>
      <x:c r="H82" t="str">
        <x:v>Competitive</x:v>
      </x:c>
      <x:c r="I82" t="str">
        <x:v>Convergence</x:v>
      </x:c>
      <x:c r="J82" t="str">
        <x:v>Unknown / not captured</x:v>
      </x:c>
      <x:c r="K82" t="str">
        <x:v>The Thing</x:v>
      </x:c>
      <x:c r="L82" t="str">
        <x:v>Win</x:v>
      </x:c>
      <x:c r="M82" t="str"/>
      <x:c r="N82" t="n">
        <x:v>3</x:v>
      </x:c>
      <x:c r="O82" t="n">
        <x:v>1</x:v>
      </x:c>
      <x:c r="P82" t="str">
        <x:v>Grandmaster II</x:v>
      </x:c>
      <x:c r="Q82" t="n">
        <x:v>4609</x:v>
      </x:c>
      <x:c r="R82" s="14" t="n">
        <x:v>20</x:v>
      </x:c>
      <x:c r="S82" t="n">
        <x:v>21</x:v>
      </x:c>
      <x:c r="T82" t="n">
        <x:v>11</x:v>
      </x:c>
      <x:c r="U82" t="n">
        <x:v>10</x:v>
      </x:c>
      <x:c r="V82" s="16" t="n">
        <x:v>2.82</x:v>
      </x:c>
      <x:c r="W82" t="str">
        <x:v>Parsed from Tracker.gg MHTML/PDF export; competitive rows only.</x:v>
      </x:c>
      <x:c r="X82" t="n">
        <x:f>IF(L82="Win",1,0)</x:f>
        <x:v>1</x:v>
      </x:c>
      <x:c r="Y82" s="14" t="n">
        <x:f>IF(L82="Loss",1,0)</x:f>
        <x:v>0</x:v>
      </x:c>
      <x:c r="Z82" t="n">
        <x:f>IF(L82="Draw/Unknown",1,0)</x:f>
        <x:v>0</x:v>
      </x:c>
      <x:c r="AA82" s="16" t="n">
        <x:f>IF(OR(N82="",O82=""),"",N82-O82)</x:f>
        <x:v>2</x:v>
      </x:c>
      <x:c r="AB82" s="16" t="n">
        <x:f>IF(T82=0,S82+U82,(S82+U82)/T82)</x:f>
        <x:v>2.8181818181818183</x:v>
      </x:c>
      <x:c r="AC82" t="n">
        <x:f>S82+U82</x:f>
        <x:v>31</x:v>
      </x:c>
      <x:c r="AD82" t="n">
        <x:f>IF(T82=0,1,0)</x:f>
        <x:v>0</x:v>
      </x:c>
      <x:c r="AE82" t="str">
        <x:f>IF(R82&gt;0,"Gain",IF(R82&lt;0,"Loss","Neutral"))</x:f>
        <x:v>Gain</x:v>
      </x:c>
    </x:row>
    <x:row r="83">
      <x:c r="A83" t="n">
        <x:v>82</x:v>
      </x:c>
      <x:c r="B83" s="12" t="n">
        <x:v>46166</x:v>
      </x:c>
      <x:c r="C83" t="str">
        <x:v>May 24</x:v>
      </x:c>
      <x:c r="D83" t="n">
        <x:v>27</x:v>
      </x:c>
      <x:c r="E83" t="n">
        <x:v>16</x:v>
      </x:c>
      <x:c r="F83" s="14" t="n">
        <x:v>11</x:v>
      </x:c>
      <x:c r="G83" t="str">
        <x:v>1w ago</x:v>
      </x:c>
      <x:c r="H83" t="str">
        <x:v>Competitive</x:v>
      </x:c>
      <x:c r="I83" t="str">
        <x:v>Domination</x:v>
      </x:c>
      <x:c r="J83" t="str">
        <x:v>Birnin T'Challa</x:v>
      </x:c>
      <x:c r="K83" t="str">
        <x:v>Magneto</x:v>
      </x:c>
      <x:c r="L83" t="str">
        <x:v>Win</x:v>
      </x:c>
      <x:c r="M83" t="str"/>
      <x:c r="N83" t="n">
        <x:v>1</x:v>
      </x:c>
      <x:c r="O83" t="n">
        <x:v>2</x:v>
      </x:c>
      <x:c r="P83" t="str">
        <x:v>Grandmaster III</x:v>
      </x:c>
      <x:c r="Q83" t="n">
        <x:v>4588</x:v>
      </x:c>
      <x:c r="R83" s="14" t="n">
        <x:v>19</x:v>
      </x:c>
      <x:c r="S83" t="n">
        <x:v>9</x:v>
      </x:c>
      <x:c r="T83" t="n">
        <x:v>5</x:v>
      </x:c>
      <x:c r="U83" t="n">
        <x:v>2</x:v>
      </x:c>
      <x:c r="V83" s="16" t="n">
        <x:v>2.2</x:v>
      </x:c>
      <x:c r="W83" t="str">
        <x:v>Parsed from Tracker.gg MHTML/PDF export; competitive rows only.</x:v>
      </x:c>
      <x:c r="X83" t="n">
        <x:f>IF(L83="Win",1,0)</x:f>
        <x:v>1</x:v>
      </x:c>
      <x:c r="Y83" s="14" t="n">
        <x:f>IF(L83="Loss",1,0)</x:f>
        <x:v>0</x:v>
      </x:c>
      <x:c r="Z83" t="n">
        <x:f>IF(L83="Draw/Unknown",1,0)</x:f>
        <x:v>0</x:v>
      </x:c>
      <x:c r="AA83" s="16" t="n">
        <x:f>IF(OR(N83="",O83=""),"",N83-O83)</x:f>
        <x:v>-1</x:v>
      </x:c>
      <x:c r="AB83" s="16" t="n">
        <x:f>IF(T83=0,S83+U83,(S83+U83)/T83)</x:f>
        <x:v>2.2</x:v>
      </x:c>
      <x:c r="AC83" t="n">
        <x:f>S83+U83</x:f>
        <x:v>11</x:v>
      </x:c>
      <x:c r="AD83" t="n">
        <x:f>IF(T83=0,1,0)</x:f>
        <x:v>0</x:v>
      </x:c>
      <x:c r="AE83" t="str">
        <x:f>IF(R83&gt;0,"Gain",IF(R83&lt;0,"Loss","Neutral"))</x:f>
        <x:v>Gain</x:v>
      </x:c>
    </x:row>
    <x:row r="84">
      <x:c r="A84" t="n">
        <x:v>83</x:v>
      </x:c>
      <x:c r="B84" s="12" t="n">
        <x:v>46166</x:v>
      </x:c>
      <x:c r="C84" t="str">
        <x:v>May 24</x:v>
      </x:c>
      <x:c r="D84" t="n">
        <x:v>27</x:v>
      </x:c>
      <x:c r="E84" t="n">
        <x:v>16</x:v>
      </x:c>
      <x:c r="F84" s="14" t="n">
        <x:v>11</x:v>
      </x:c>
      <x:c r="G84" t="str">
        <x:v>1w ago</x:v>
      </x:c>
      <x:c r="H84" t="str">
        <x:v>Competitive</x:v>
      </x:c>
      <x:c r="I84" t="str">
        <x:v>Convoy</x:v>
      </x:c>
      <x:c r="J84" t="str">
        <x:v>Midtown</x:v>
      </x:c>
      <x:c r="K84" t="str">
        <x:v>Squirrel Girl</x:v>
      </x:c>
      <x:c r="L84" t="str">
        <x:v>Loss</x:v>
      </x:c>
      <x:c r="M84" t="str"/>
      <x:c r="N84" t="n">
        <x:v>2</x:v>
      </x:c>
      <x:c r="O84" t="n">
        <x:v>3</x:v>
      </x:c>
      <x:c r="P84" t="str">
        <x:v>Grandmaster III</x:v>
      </x:c>
      <x:c r="Q84" t="n">
        <x:v>4568</x:v>
      </x:c>
      <x:c r="R84" s="14" t="n">
        <x:v>-21</x:v>
      </x:c>
      <x:c r="S84" t="n">
        <x:v>22</x:v>
      </x:c>
      <x:c r="T84" t="n">
        <x:v>12</x:v>
      </x:c>
      <x:c r="U84" t="n">
        <x:v>6</x:v>
      </x:c>
      <x:c r="V84" s="16" t="n">
        <x:v>2.33</x:v>
      </x:c>
      <x:c r="W84" t="str">
        <x:v>Parsed from Tracker.gg MHTML/PDF export; competitive rows only.</x:v>
      </x:c>
      <x:c r="X84" t="n">
        <x:f>IF(L84="Win",1,0)</x:f>
        <x:v>0</x:v>
      </x:c>
      <x:c r="Y84" s="14" t="n">
        <x:f>IF(L84="Loss",1,0)</x:f>
        <x:v>1</x:v>
      </x:c>
      <x:c r="Z84" t="n">
        <x:f>IF(L84="Draw/Unknown",1,0)</x:f>
        <x:v>0</x:v>
      </x:c>
      <x:c r="AA84" s="16" t="n">
        <x:f>IF(OR(N84="",O84=""),"",N84-O84)</x:f>
        <x:v>-1</x:v>
      </x:c>
      <x:c r="AB84" s="16" t="n">
        <x:f>IF(T84=0,S84+U84,(S84+U84)/T84)</x:f>
        <x:v>2.3333333333333335</x:v>
      </x:c>
      <x:c r="AC84" t="n">
        <x:f>S84+U84</x:f>
        <x:v>28</x:v>
      </x:c>
      <x:c r="AD84" t="n">
        <x:f>IF(T84=0,1,0)</x:f>
        <x:v>0</x:v>
      </x:c>
      <x:c r="AE84" t="str">
        <x:f>IF(R84&gt;0,"Gain",IF(R84&lt;0,"Loss","Neutral"))</x:f>
        <x:v>Loss</x:v>
      </x:c>
    </x:row>
    <x:row r="85">
      <x:c r="A85" t="n">
        <x:v>84</x:v>
      </x:c>
      <x:c r="B85" s="12" t="n">
        <x:v>46166</x:v>
      </x:c>
      <x:c r="C85" t="str">
        <x:v>May 24</x:v>
      </x:c>
      <x:c r="D85" t="n">
        <x:v>27</x:v>
      </x:c>
      <x:c r="E85" t="n">
        <x:v>16</x:v>
      </x:c>
      <x:c r="F85" s="14" t="n">
        <x:v>11</x:v>
      </x:c>
      <x:c r="G85" t="str">
        <x:v>1w ago</x:v>
      </x:c>
      <x:c r="H85" t="str">
        <x:v>Competitive</x:v>
      </x:c>
      <x:c r="I85" t="str">
        <x:v>Convoy</x:v>
      </x:c>
      <x:c r="J85" t="str">
        <x:v>Arakko</x:v>
      </x:c>
      <x:c r="K85" t="str">
        <x:v>Rogue</x:v>
      </x:c>
      <x:c r="L85" t="str">
        <x:v>Win</x:v>
      </x:c>
      <x:c r="M85" t="str"/>
      <x:c r="N85" t="n">
        <x:v>2</x:v>
      </x:c>
      <x:c r="O85" t="n">
        <x:v>0</x:v>
      </x:c>
      <x:c r="P85" t="str">
        <x:v>Grandmaster III</x:v>
      </x:c>
      <x:c r="Q85" t="n">
        <x:v>4589</x:v>
      </x:c>
      <x:c r="R85" s="14" t="n">
        <x:v>19</x:v>
      </x:c>
      <x:c r="S85" t="n">
        <x:v>14</x:v>
      </x:c>
      <x:c r="T85" t="n">
        <x:v>8</x:v>
      </x:c>
      <x:c r="U85" t="n">
        <x:v>8</x:v>
      </x:c>
      <x:c r="V85" s="16" t="n">
        <x:v>2.75</x:v>
      </x:c>
      <x:c r="W85" t="str">
        <x:v>Parsed from Tracker.gg MHTML/PDF export; competitive rows only.</x:v>
      </x:c>
      <x:c r="X85" t="n">
        <x:f>IF(L85="Win",1,0)</x:f>
        <x:v>1</x:v>
      </x:c>
      <x:c r="Y85" s="14" t="n">
        <x:f>IF(L85="Loss",1,0)</x:f>
        <x:v>0</x:v>
      </x:c>
      <x:c r="Z85" t="n">
        <x:f>IF(L85="Draw/Unknown",1,0)</x:f>
        <x:v>0</x:v>
      </x:c>
      <x:c r="AA85" s="16" t="str">
        <x:f>IF(OR(N85="",O85=""),"",N85-O85)</x:f>
      </x:c>
      <x:c r="AB85" s="16" t="n">
        <x:f>IF(T85=0,S85+U85,(S85+U85)/T85)</x:f>
        <x:v>2.75</x:v>
      </x:c>
      <x:c r="AC85" t="n">
        <x:f>S85+U85</x:f>
        <x:v>22</x:v>
      </x:c>
      <x:c r="AD85" t="n">
        <x:f>IF(T85=0,1,0)</x:f>
        <x:v>0</x:v>
      </x:c>
      <x:c r="AE85" t="str">
        <x:f>IF(R85&gt;0,"Gain",IF(R85&lt;0,"Loss","Neutral"))</x:f>
        <x:v>Gain</x:v>
      </x:c>
    </x:row>
    <x:row r="86">
      <x:c r="A86" t="n">
        <x:v>85</x:v>
      </x:c>
      <x:c r="B86" s="12" t="n">
        <x:v>46166</x:v>
      </x:c>
      <x:c r="C86" t="str">
        <x:v>May 24</x:v>
      </x:c>
      <x:c r="D86" t="n">
        <x:v>27</x:v>
      </x:c>
      <x:c r="E86" t="n">
        <x:v>16</x:v>
      </x:c>
      <x:c r="F86" s="14" t="n">
        <x:v>11</x:v>
      </x:c>
      <x:c r="G86" t="str">
        <x:v>1w ago</x:v>
      </x:c>
      <x:c r="H86" t="str">
        <x:v>Competitive</x:v>
      </x:c>
      <x:c r="I86" t="str">
        <x:v>Convoy</x:v>
      </x:c>
      <x:c r="J86" t="str">
        <x:v>Spider-Islands</x:v>
      </x:c>
      <x:c r="K86" t="str">
        <x:v>Squirrel Girl</x:v>
      </x:c>
      <x:c r="L86" t="str">
        <x:v>Win</x:v>
      </x:c>
      <x:c r="M86" t="str"/>
      <x:c r="N86" t="n">
        <x:v>5</x:v>
      </x:c>
      <x:c r="O86" t="n">
        <x:v>4</x:v>
      </x:c>
      <x:c r="P86" t="str">
        <x:v>Grandmaster III</x:v>
      </x:c>
      <x:c r="Q86" t="n">
        <x:v>4569</x:v>
      </x:c>
      <x:c r="R86" s="14" t="n">
        <x:v>20</x:v>
      </x:c>
      <x:c r="S86" t="n">
        <x:v>30</x:v>
      </x:c>
      <x:c r="T86" t="n">
        <x:v>19</x:v>
      </x:c>
      <x:c r="U86" t="n">
        <x:v>6</x:v>
      </x:c>
      <x:c r="V86" s="16" t="n">
        <x:v>1.89</x:v>
      </x:c>
      <x:c r="W86" t="str">
        <x:v>Parsed from Tracker.gg MHTML/PDF export; competitive rows only.</x:v>
      </x:c>
      <x:c r="X86" t="n">
        <x:f>IF(L86="Win",1,0)</x:f>
        <x:v>1</x:v>
      </x:c>
      <x:c r="Y86" s="14" t="n">
        <x:f>IF(L86="Loss",1,0)</x:f>
        <x:v>0</x:v>
      </x:c>
      <x:c r="Z86" t="n">
        <x:f>IF(L86="Draw/Unknown",1,0)</x:f>
        <x:v>0</x:v>
      </x:c>
      <x:c r="AA86" s="16" t="n">
        <x:f>IF(OR(N86="",O86=""),"",N86-O86)</x:f>
        <x:v>1</x:v>
      </x:c>
      <x:c r="AB86" s="16" t="n">
        <x:f>IF(T86=0,S86+U86,(S86+U86)/T86)</x:f>
        <x:v>1.894736842105263</x:v>
      </x:c>
      <x:c r="AC86" t="n">
        <x:f>S86+U86</x:f>
        <x:v>36</x:v>
      </x:c>
      <x:c r="AD86" t="n">
        <x:f>IF(T86=0,1,0)</x:f>
        <x:v>0</x:v>
      </x:c>
      <x:c r="AE86" t="str">
        <x:f>IF(R86&gt;0,"Gain",IF(R86&lt;0,"Loss","Neutral"))</x:f>
        <x:v>Gain</x:v>
      </x:c>
    </x:row>
    <x:row r="87">
      <x:c r="A87" t="n">
        <x:v>86</x:v>
      </x:c>
      <x:c r="B87" s="12" t="n">
        <x:v>46165</x:v>
      </x:c>
      <x:c r="C87" t="str">
        <x:v>May 23</x:v>
      </x:c>
      <x:c r="D87" t="n">
        <x:v>39</x:v>
      </x:c>
      <x:c r="E87" t="n">
        <x:v>20</x:v>
      </x:c>
      <x:c r="F87" s="14" t="n">
        <x:v>19</x:v>
      </x:c>
      <x:c r="G87" t="str">
        <x:v>1w ago</x:v>
      </x:c>
      <x:c r="H87" t="str">
        <x:v>Competitive</x:v>
      </x:c>
      <x:c r="I87" t="str">
        <x:v>Convergence</x:v>
      </x:c>
      <x:c r="J87" t="str">
        <x:v>Heart Of Heaven</x:v>
      </x:c>
      <x:c r="K87" t="str">
        <x:v>Groot</x:v>
      </x:c>
      <x:c r="L87" t="str">
        <x:v>Loss</x:v>
      </x:c>
      <x:c r="M87" t="str"/>
      <x:c r="N87" t="n">
        <x:v>3</x:v>
      </x:c>
      <x:c r="O87" t="n">
        <x:v>0</x:v>
      </x:c>
      <x:c r="P87" t="str">
        <x:v>Grandmaster III</x:v>
      </x:c>
      <x:c r="Q87" t="n">
        <x:v>4549</x:v>
      </x:c>
      <x:c r="R87" s="14" t="n">
        <x:v>-21</x:v>
      </x:c>
      <x:c r="S87" t="n">
        <x:v>10</x:v>
      </x:c>
      <x:c r="T87" t="n">
        <x:v>10</x:v>
      </x:c>
      <x:c r="U87" t="n">
        <x:v>1</x:v>
      </x:c>
      <x:c r="V87" s="16" t="n">
        <x:v>1.1</x:v>
      </x:c>
      <x:c r="W87" t="str">
        <x:v>Parsed from Tracker.gg MHTML/PDF export; competitive rows only.</x:v>
      </x:c>
      <x:c r="X87" t="n">
        <x:f>IF(L87="Win",1,0)</x:f>
        <x:v>0</x:v>
      </x:c>
      <x:c r="Y87" s="14" t="n">
        <x:f>IF(L87="Loss",1,0)</x:f>
        <x:v>1</x:v>
      </x:c>
      <x:c r="Z87" t="n">
        <x:f>IF(L87="Draw/Unknown",1,0)</x:f>
        <x:v>0</x:v>
      </x:c>
      <x:c r="AA87" s="16" t="str">
        <x:f>IF(OR(N87="",O87=""),"",N87-O87)</x:f>
      </x:c>
      <x:c r="AB87" s="16" t="n">
        <x:f>IF(T87=0,S87+U87,(S87+U87)/T87)</x:f>
        <x:v>1.1</x:v>
      </x:c>
      <x:c r="AC87" t="n">
        <x:f>S87+U87</x:f>
        <x:v>11</x:v>
      </x:c>
      <x:c r="AD87" t="n">
        <x:f>IF(T87=0,1,0)</x:f>
        <x:v>0</x:v>
      </x:c>
      <x:c r="AE87" t="str">
        <x:f>IF(R87&gt;0,"Gain",IF(R87&lt;0,"Loss","Neutral"))</x:f>
        <x:v>Loss</x:v>
      </x:c>
    </x:row>
    <x:row r="88">
      <x:c r="A88" t="n">
        <x:v>87</x:v>
      </x:c>
      <x:c r="B88" s="12" t="n">
        <x:v>46165</x:v>
      </x:c>
      <x:c r="C88" t="str">
        <x:v>May 23</x:v>
      </x:c>
      <x:c r="D88" t="n">
        <x:v>39</x:v>
      </x:c>
      <x:c r="E88" t="n">
        <x:v>20</x:v>
      </x:c>
      <x:c r="F88" s="14" t="n">
        <x:v>19</x:v>
      </x:c>
      <x:c r="G88" t="str">
        <x:v>1w ago</x:v>
      </x:c>
      <x:c r="H88" t="str">
        <x:v>Competitive</x:v>
      </x:c>
      <x:c r="I88" t="str">
        <x:v>Domination</x:v>
      </x:c>
      <x:c r="J88" t="str">
        <x:v>Celestial Husk</x:v>
      </x:c>
      <x:c r="K88" t="str">
        <x:v>Squirrel Girl</x:v>
      </x:c>
      <x:c r="L88" t="str">
        <x:v>Loss</x:v>
      </x:c>
      <x:c r="M88" t="str"/>
      <x:c r="N88" t="n">
        <x:v>1</x:v>
      </x:c>
      <x:c r="O88" t="n">
        <x:v>2</x:v>
      </x:c>
      <x:c r="P88" t="str">
        <x:v>Grandmaster III</x:v>
      </x:c>
      <x:c r="Q88" t="n">
        <x:v>4569</x:v>
      </x:c>
      <x:c r="R88" s="14" t="n">
        <x:v>-21</x:v>
      </x:c>
      <x:c r="S88" t="n">
        <x:v>16</x:v>
      </x:c>
      <x:c r="T88" t="n">
        <x:v>12</x:v>
      </x:c>
      <x:c r="U88" t="n">
        <x:v>11</x:v>
      </x:c>
      <x:c r="V88" s="16" t="n">
        <x:v>2.25</x:v>
      </x:c>
      <x:c r="W88" t="str">
        <x:v>Parsed from Tracker.gg MHTML/PDF export; competitive rows only.</x:v>
      </x:c>
      <x:c r="X88" t="n">
        <x:f>IF(L88="Win",1,0)</x:f>
        <x:v>0</x:v>
      </x:c>
      <x:c r="Y88" s="14" t="n">
        <x:f>IF(L88="Loss",1,0)</x:f>
        <x:v>1</x:v>
      </x:c>
      <x:c r="Z88" t="n">
        <x:f>IF(L88="Draw/Unknown",1,0)</x:f>
        <x:v>0</x:v>
      </x:c>
      <x:c r="AA88" s="16" t="n">
        <x:f>IF(OR(N88="",O88=""),"",N88-O88)</x:f>
        <x:v>-1</x:v>
      </x:c>
      <x:c r="AB88" s="16" t="n">
        <x:f>IF(T88=0,S88+U88,(S88+U88)/T88)</x:f>
        <x:v>2.25</x:v>
      </x:c>
      <x:c r="AC88" t="n">
        <x:f>S88+U88</x:f>
        <x:v>27</x:v>
      </x:c>
      <x:c r="AD88" t="n">
        <x:f>IF(T88=0,1,0)</x:f>
        <x:v>0</x:v>
      </x:c>
      <x:c r="AE88" t="str">
        <x:f>IF(R88&gt;0,"Gain",IF(R88&lt;0,"Loss","Neutral"))</x:f>
        <x:v>Loss</x:v>
      </x:c>
    </x:row>
    <x:row r="89">
      <x:c r="A89" t="n">
        <x:v>88</x:v>
      </x:c>
      <x:c r="B89" s="12" t="n">
        <x:v>46165</x:v>
      </x:c>
      <x:c r="C89" t="str">
        <x:v>May 23</x:v>
      </x:c>
      <x:c r="D89" t="n">
        <x:v>39</x:v>
      </x:c>
      <x:c r="E89" t="n">
        <x:v>20</x:v>
      </x:c>
      <x:c r="F89" s="14" t="n">
        <x:v>19</x:v>
      </x:c>
      <x:c r="G89" t="str">
        <x:v>1w ago</x:v>
      </x:c>
      <x:c r="H89" t="str">
        <x:v>Competitive</x:v>
      </x:c>
      <x:c r="I89" t="str">
        <x:v>Domination</x:v>
      </x:c>
      <x:c r="J89" t="str">
        <x:v>Krakoa</x:v>
      </x:c>
      <x:c r="K89" t="str">
        <x:v>Groot</x:v>
      </x:c>
      <x:c r="L89" t="str">
        <x:v>Win</x:v>
      </x:c>
      <x:c r="M89" t="str"/>
      <x:c r="N89" t="n">
        <x:v>2</x:v>
      </x:c>
      <x:c r="O89" t="n">
        <x:v>1</x:v>
      </x:c>
      <x:c r="P89" t="str">
        <x:v>Grandmaster II</x:v>
      </x:c>
      <x:c r="Q89" t="n">
        <x:v>4590</x:v>
      </x:c>
      <x:c r="R89" s="14" t="n">
        <x:v>17</x:v>
      </x:c>
      <x:c r="S89" t="n">
        <x:v>14</x:v>
      </x:c>
      <x:c r="T89" t="n">
        <x:v>5</x:v>
      </x:c>
      <x:c r="U89" t="n">
        <x:v>6</x:v>
      </x:c>
      <x:c r="V89" s="16" t="n">
        <x:v>4</x:v>
      </x:c>
      <x:c r="W89" t="str">
        <x:v>Parsed from Tracker.gg MHTML/PDF export; competitive rows only.</x:v>
      </x:c>
      <x:c r="X89" t="n">
        <x:f>IF(L89="Win",1,0)</x:f>
        <x:v>1</x:v>
      </x:c>
      <x:c r="Y89" s="14" t="n">
        <x:f>IF(L89="Loss",1,0)</x:f>
        <x:v>0</x:v>
      </x:c>
      <x:c r="Z89" t="n">
        <x:f>IF(L89="Draw/Unknown",1,0)</x:f>
        <x:v>0</x:v>
      </x:c>
      <x:c r="AA89" s="16" t="n">
        <x:f>IF(OR(N89="",O89=""),"",N89-O89)</x:f>
        <x:v>1</x:v>
      </x:c>
      <x:c r="AB89" s="16" t="n">
        <x:f>IF(T89=0,S89+U89,(S89+U89)/T89)</x:f>
        <x:v>4</x:v>
      </x:c>
      <x:c r="AC89" t="n">
        <x:f>S89+U89</x:f>
        <x:v>20</x:v>
      </x:c>
      <x:c r="AD89" t="n">
        <x:f>IF(T89=0,1,0)</x:f>
        <x:v>0</x:v>
      </x:c>
      <x:c r="AE89" t="str">
        <x:f>IF(R89&gt;0,"Gain",IF(R89&lt;0,"Loss","Neutral"))</x:f>
        <x:v>Gain</x:v>
      </x:c>
    </x:row>
    <x:row r="90">
      <x:c r="A90" t="n">
        <x:v>89</x:v>
      </x:c>
      <x:c r="B90" s="12" t="n">
        <x:v>46165</x:v>
      </x:c>
      <x:c r="C90" t="str">
        <x:v>May 23</x:v>
      </x:c>
      <x:c r="D90" t="n">
        <x:v>39</x:v>
      </x:c>
      <x:c r="E90" t="n">
        <x:v>20</x:v>
      </x:c>
      <x:c r="F90" s="14" t="n">
        <x:v>19</x:v>
      </x:c>
      <x:c r="G90" t="str">
        <x:v>1w ago</x:v>
      </x:c>
      <x:c r="H90" t="str">
        <x:v>Competitive</x:v>
      </x:c>
      <x:c r="I90" t="str">
        <x:v>Convoy</x:v>
      </x:c>
      <x:c r="J90" t="str">
        <x:v>Arakko</x:v>
      </x:c>
      <x:c r="K90" t="str">
        <x:v>Groot</x:v>
      </x:c>
      <x:c r="L90" t="str">
        <x:v>Loss</x:v>
      </x:c>
      <x:c r="M90" t="str"/>
      <x:c r="N90" t="n">
        <x:v>0</x:v>
      </x:c>
      <x:c r="O90" t="n">
        <x:v>1</x:v>
      </x:c>
      <x:c r="P90" t="str">
        <x:v>Grandmaster II</x:v>
      </x:c>
      <x:c r="Q90" t="n">
        <x:v>4572</x:v>
      </x:c>
      <x:c r="R90" s="14" t="n">
        <x:v>-22</x:v>
      </x:c>
      <x:c r="S90" t="n">
        <x:v>1</x:v>
      </x:c>
      <x:c r="T90" t="n">
        <x:v>8</x:v>
      </x:c>
      <x:c r="U90" t="n">
        <x:v>0</x:v>
      </x:c>
      <x:c r="V90" s="16" t="n">
        <x:v>0.12</x:v>
      </x:c>
      <x:c r="W90" t="str">
        <x:v>Parsed from Tracker.gg MHTML/PDF export; competitive rows only.</x:v>
      </x:c>
      <x:c r="X90" t="n">
        <x:f>IF(L90="Win",1,0)</x:f>
        <x:v>0</x:v>
      </x:c>
      <x:c r="Y90" s="14" t="n">
        <x:f>IF(L90="Loss",1,0)</x:f>
        <x:v>1</x:v>
      </x:c>
      <x:c r="Z90" t="n">
        <x:f>IF(L90="Draw/Unknown",1,0)</x:f>
        <x:v>0</x:v>
      </x:c>
      <x:c r="AA90" s="16" t="str">
        <x:f>IF(OR(N90="",O90=""),"",N90-O90)</x:f>
      </x:c>
      <x:c r="AB90" s="16" t="n">
        <x:f>IF(T90=0,S90+U90,(S90+U90)/T90)</x:f>
        <x:v>0.125</x:v>
      </x:c>
      <x:c r="AC90" t="n">
        <x:f>S90+U90</x:f>
        <x:v>1</x:v>
      </x:c>
      <x:c r="AD90" t="n">
        <x:f>IF(T90=0,1,0)</x:f>
        <x:v>0</x:v>
      </x:c>
      <x:c r="AE90" t="str">
        <x:f>IF(R90&gt;0,"Gain",IF(R90&lt;0,"Loss","Neutral"))</x:f>
        <x:v>Loss</x:v>
      </x:c>
    </x:row>
    <x:row r="91">
      <x:c r="A91" t="n">
        <x:v>90</x:v>
      </x:c>
      <x:c r="B91" s="12" t="n">
        <x:v>46165</x:v>
      </x:c>
      <x:c r="C91" t="str">
        <x:v>May 23</x:v>
      </x:c>
      <x:c r="D91" t="n">
        <x:v>39</x:v>
      </x:c>
      <x:c r="E91" t="n">
        <x:v>20</x:v>
      </x:c>
      <x:c r="F91" s="14" t="n">
        <x:v>19</x:v>
      </x:c>
      <x:c r="G91" t="str">
        <x:v>1w ago</x:v>
      </x:c>
      <x:c r="H91" t="str">
        <x:v>Competitive</x:v>
      </x:c>
      <x:c r="I91" t="str">
        <x:v>Convergence</x:v>
      </x:c>
      <x:c r="J91" t="str">
        <x:v>Symbiotic Surface</x:v>
      </x:c>
      <x:c r="K91" t="str">
        <x:v>Peni Parker</x:v>
      </x:c>
      <x:c r="L91" t="str">
        <x:v>Loss</x:v>
      </x:c>
      <x:c r="M91" t="str"/>
      <x:c r="N91" t="n">
        <x:v>2</x:v>
      </x:c>
      <x:c r="O91" t="n">
        <x:v>1</x:v>
      </x:c>
      <x:c r="P91" t="str">
        <x:v>Grandmaster II</x:v>
      </x:c>
      <x:c r="Q91" t="n">
        <x:v>4593</x:v>
      </x:c>
      <x:c r="R91" s="14" t="n">
        <x:v>-24</x:v>
      </x:c>
      <x:c r="S91" t="n">
        <x:v>18</x:v>
      </x:c>
      <x:c r="T91" t="n">
        <x:v>9</x:v>
      </x:c>
      <x:c r="U91" t="n">
        <x:v>10</x:v>
      </x:c>
      <x:c r="V91" s="16" t="n">
        <x:v>3.11</x:v>
      </x:c>
      <x:c r="W91" t="str">
        <x:v>Parsed from Tracker.gg MHTML/PDF export; competitive rows only.</x:v>
      </x:c>
      <x:c r="X91" t="n">
        <x:f>IF(L91="Win",1,0)</x:f>
        <x:v>0</x:v>
      </x:c>
      <x:c r="Y91" s="14" t="n">
        <x:f>IF(L91="Loss",1,0)</x:f>
        <x:v>1</x:v>
      </x:c>
      <x:c r="Z91" t="n">
        <x:f>IF(L91="Draw/Unknown",1,0)</x:f>
        <x:v>0</x:v>
      </x:c>
      <x:c r="AA91" s="16" t="n">
        <x:f>IF(OR(N91="",O91=""),"",N91-O91)</x:f>
        <x:v>1</x:v>
      </x:c>
      <x:c r="AB91" s="16" t="n">
        <x:f>IF(T91=0,S91+U91,(S91+U91)/T91)</x:f>
        <x:v>3.111111111111111</x:v>
      </x:c>
      <x:c r="AC91" t="n">
        <x:f>S91+U91</x:f>
        <x:v>28</x:v>
      </x:c>
      <x:c r="AD91" t="n">
        <x:f>IF(T91=0,1,0)</x:f>
        <x:v>0</x:v>
      </x:c>
      <x:c r="AE91" t="str">
        <x:f>IF(R91&gt;0,"Gain",IF(R91&lt;0,"Loss","Neutral"))</x:f>
        <x:v>Loss</x:v>
      </x:c>
    </x:row>
    <x:row r="92">
      <x:c r="A92" t="n">
        <x:v>91</x:v>
      </x:c>
      <x:c r="B92" s="12" t="n">
        <x:v>46165</x:v>
      </x:c>
      <x:c r="C92" t="str">
        <x:v>May 23</x:v>
      </x:c>
      <x:c r="D92" t="n">
        <x:v>39</x:v>
      </x:c>
      <x:c r="E92" t="n">
        <x:v>20</x:v>
      </x:c>
      <x:c r="F92" s="14" t="n">
        <x:v>19</x:v>
      </x:c>
      <x:c r="G92" t="str">
        <x:v>1w ago</x:v>
      </x:c>
      <x:c r="H92" t="str">
        <x:v>Competitive</x:v>
      </x:c>
      <x:c r="I92" t="str">
        <x:v>Convergence</x:v>
      </x:c>
      <x:c r="J92" t="str">
        <x:v>Heart Of Heaven</x:v>
      </x:c>
      <x:c r="K92" t="str">
        <x:v>The Thing</x:v>
      </x:c>
      <x:c r="L92" t="str">
        <x:v>Win</x:v>
      </x:c>
      <x:c r="M92" t="str"/>
      <x:c r="N92" t="n">
        <x:v>3</x:v>
      </x:c>
      <x:c r="O92" t="n">
        <x:v>1</x:v>
      </x:c>
      <x:c r="P92" t="str">
        <x:v>Grandmaster II</x:v>
      </x:c>
      <x:c r="Q92" t="n">
        <x:v>4617</x:v>
      </x:c>
      <x:c r="R92" s="14" t="n">
        <x:v>20</x:v>
      </x:c>
      <x:c r="S92" t="n">
        <x:v>27</x:v>
      </x:c>
      <x:c r="T92" t="n">
        <x:v>9</x:v>
      </x:c>
      <x:c r="U92" t="n">
        <x:v>34</x:v>
      </x:c>
      <x:c r="V92" s="16" t="n">
        <x:v>6.78</x:v>
      </x:c>
      <x:c r="W92" t="str">
        <x:v>Parsed from Tracker.gg MHTML/PDF export; competitive rows only.</x:v>
      </x:c>
      <x:c r="X92" t="n">
        <x:f>IF(L92="Win",1,0)</x:f>
        <x:v>1</x:v>
      </x:c>
      <x:c r="Y92" s="14" t="n">
        <x:f>IF(L92="Loss",1,0)</x:f>
        <x:v>0</x:v>
      </x:c>
      <x:c r="Z92" t="n">
        <x:f>IF(L92="Draw/Unknown",1,0)</x:f>
        <x:v>0</x:v>
      </x:c>
      <x:c r="AA92" s="16" t="n">
        <x:f>IF(OR(N92="",O92=""),"",N92-O92)</x:f>
        <x:v>2</x:v>
      </x:c>
      <x:c r="AB92" s="16" t="n">
        <x:f>IF(T92=0,S92+U92,(S92+U92)/T92)</x:f>
        <x:v>6.777777777777778</x:v>
      </x:c>
      <x:c r="AC92" t="n">
        <x:f>S92+U92</x:f>
        <x:v>61</x:v>
      </x:c>
      <x:c r="AD92" t="n">
        <x:f>IF(T92=0,1,0)</x:f>
        <x:v>0</x:v>
      </x:c>
      <x:c r="AE92" t="str">
        <x:f>IF(R92&gt;0,"Gain",IF(R92&lt;0,"Loss","Neutral"))</x:f>
        <x:v>Gain</x:v>
      </x:c>
    </x:row>
    <x:row r="93">
      <x:c r="A93" t="n">
        <x:v>92</x:v>
      </x:c>
      <x:c r="B93" s="12" t="n">
        <x:v>46165</x:v>
      </x:c>
      <x:c r="C93" t="str">
        <x:v>May 23</x:v>
      </x:c>
      <x:c r="D93" t="n">
        <x:v>39</x:v>
      </x:c>
      <x:c r="E93" t="n">
        <x:v>20</x:v>
      </x:c>
      <x:c r="F93" s="14" t="n">
        <x:v>19</x:v>
      </x:c>
      <x:c r="G93" t="str">
        <x:v>1w ago</x:v>
      </x:c>
      <x:c r="H93" t="str">
        <x:v>Competitive</x:v>
      </x:c>
      <x:c r="I93" t="str">
        <x:v>Convoy</x:v>
      </x:c>
      <x:c r="J93" t="str">
        <x:v>Midtown</x:v>
      </x:c>
      <x:c r="K93" t="str">
        <x:v>Peni Parker</x:v>
      </x:c>
      <x:c r="L93" t="str">
        <x:v>Win</x:v>
      </x:c>
      <x:c r="M93" t="str"/>
      <x:c r="N93" t="n">
        <x:v>0</x:v>
      </x:c>
      <x:c r="O93" t="n">
        <x:v>1</x:v>
      </x:c>
      <x:c r="P93" t="str">
        <x:v>Grandmaster III</x:v>
      </x:c>
      <x:c r="Q93" t="n">
        <x:v>4597</x:v>
      </x:c>
      <x:c r="R93" s="14" t="n">
        <x:v>20</x:v>
      </x:c>
      <x:c r="S93" t="n">
        <x:v>15</x:v>
      </x:c>
      <x:c r="T93" t="n">
        <x:v>5</x:v>
      </x:c>
      <x:c r="U93" t="n">
        <x:v>14</x:v>
      </x:c>
      <x:c r="V93" s="16" t="n">
        <x:v>5.8</x:v>
      </x:c>
      <x:c r="W93" t="str">
        <x:v>Parsed from Tracker.gg MHTML/PDF export; competitive rows only.</x:v>
      </x:c>
      <x:c r="X93" t="n">
        <x:f>IF(L93="Win",1,0)</x:f>
        <x:v>1</x:v>
      </x:c>
      <x:c r="Y93" s="14" t="n">
        <x:f>IF(L93="Loss",1,0)</x:f>
        <x:v>0</x:v>
      </x:c>
      <x:c r="Z93" t="n">
        <x:f>IF(L93="Draw/Unknown",1,0)</x:f>
        <x:v>0</x:v>
      </x:c>
      <x:c r="AA93" s="16" t="str">
        <x:f>IF(OR(N93="",O93=""),"",N93-O93)</x:f>
      </x:c>
      <x:c r="AB93" s="16" t="n">
        <x:f>IF(T93=0,S93+U93,(S93+U93)/T93)</x:f>
        <x:v>5.8</x:v>
      </x:c>
      <x:c r="AC93" t="n">
        <x:f>S93+U93</x:f>
        <x:v>29</x:v>
      </x:c>
      <x:c r="AD93" t="n">
        <x:f>IF(T93=0,1,0)</x:f>
        <x:v>0</x:v>
      </x:c>
      <x:c r="AE93" t="str">
        <x:f>IF(R93&gt;0,"Gain",IF(R93&lt;0,"Loss","Neutral"))</x:f>
        <x:v>Gain</x:v>
      </x:c>
    </x:row>
    <x:row r="94">
      <x:c r="A94" t="n">
        <x:v>93</x:v>
      </x:c>
      <x:c r="B94" s="12" t="n">
        <x:v>46165</x:v>
      </x:c>
      <x:c r="C94" t="str">
        <x:v>May 23</x:v>
      </x:c>
      <x:c r="D94" t="n">
        <x:v>39</x:v>
      </x:c>
      <x:c r="E94" t="n">
        <x:v>20</x:v>
      </x:c>
      <x:c r="F94" s="14" t="n">
        <x:v>19</x:v>
      </x:c>
      <x:c r="G94" t="str">
        <x:v>1w ago</x:v>
      </x:c>
      <x:c r="H94" t="str">
        <x:v>Competitive</x:v>
      </x:c>
      <x:c r="I94" t="str">
        <x:v>Convoy</x:v>
      </x:c>
      <x:c r="J94" t="str">
        <x:v>Spider-Islands</x:v>
      </x:c>
      <x:c r="K94" t="str">
        <x:v>Squirrel Girl</x:v>
      </x:c>
      <x:c r="L94" t="str">
        <x:v>Win</x:v>
      </x:c>
      <x:c r="M94" t="str"/>
      <x:c r="N94" t="n">
        <x:v>3</x:v>
      </x:c>
      <x:c r="O94" t="n">
        <x:v>0</x:v>
      </x:c>
      <x:c r="P94" t="str">
        <x:v>Grandmaster III</x:v>
      </x:c>
      <x:c r="Q94" t="n">
        <x:v>4576</x:v>
      </x:c>
      <x:c r="R94" s="14" t="n">
        <x:v>19</x:v>
      </x:c>
      <x:c r="S94" t="n">
        <x:v>16</x:v>
      </x:c>
      <x:c r="T94" t="n">
        <x:v>2</x:v>
      </x:c>
      <x:c r="U94" t="n">
        <x:v>5</x:v>
      </x:c>
      <x:c r="V94" s="16" t="n">
        <x:v>10.5</x:v>
      </x:c>
      <x:c r="W94" t="str">
        <x:v>Parsed from Tracker.gg MHTML/PDF export; competitive rows only.</x:v>
      </x:c>
      <x:c r="X94" t="n">
        <x:f>IF(L94="Win",1,0)</x:f>
        <x:v>1</x:v>
      </x:c>
      <x:c r="Y94" s="14" t="n">
        <x:f>IF(L94="Loss",1,0)</x:f>
        <x:v>0</x:v>
      </x:c>
      <x:c r="Z94" t="n">
        <x:f>IF(L94="Draw/Unknown",1,0)</x:f>
        <x:v>0</x:v>
      </x:c>
      <x:c r="AA94" s="16" t="str">
        <x:f>IF(OR(N94="",O94=""),"",N94-O94)</x:f>
      </x:c>
      <x:c r="AB94" s="16" t="n">
        <x:f>IF(T94=0,S94+U94,(S94+U94)/T94)</x:f>
        <x:v>10.5</x:v>
      </x:c>
      <x:c r="AC94" t="n">
        <x:f>S94+U94</x:f>
        <x:v>21</x:v>
      </x:c>
      <x:c r="AD94" t="n">
        <x:f>IF(T94=0,1,0)</x:f>
        <x:v>0</x:v>
      </x:c>
      <x:c r="AE94" t="str">
        <x:f>IF(R94&gt;0,"Gain",IF(R94&lt;0,"Loss","Neutral"))</x:f>
        <x:v>Gain</x:v>
      </x:c>
    </x:row>
    <x:row r="95">
      <x:c r="A95" t="n">
        <x:v>94</x:v>
      </x:c>
      <x:c r="B95" s="12" t="n">
        <x:v>46165</x:v>
      </x:c>
      <x:c r="C95" t="str">
        <x:v>May 23</x:v>
      </x:c>
      <x:c r="D95" t="n">
        <x:v>39</x:v>
      </x:c>
      <x:c r="E95" t="n">
        <x:v>20</x:v>
      </x:c>
      <x:c r="F95" s="14" t="n">
        <x:v>19</x:v>
      </x:c>
      <x:c r="G95" t="str">
        <x:v>1w ago</x:v>
      </x:c>
      <x:c r="H95" t="str">
        <x:v>Competitive</x:v>
      </x:c>
      <x:c r="I95" t="str">
        <x:v>Convoy</x:v>
      </x:c>
      <x:c r="J95" t="str">
        <x:v>Museum of Contemplation</x:v>
      </x:c>
      <x:c r="K95" t="str">
        <x:v>Devil Dinosaur</x:v>
      </x:c>
      <x:c r="L95" t="str">
        <x:v>Win</x:v>
      </x:c>
      <x:c r="M95" t="str"/>
      <x:c r="N95" t="n">
        <x:v>3</x:v>
      </x:c>
      <x:c r="O95" t="n">
        <x:v>0</x:v>
      </x:c>
      <x:c r="P95" t="str">
        <x:v>Grandmaster III</x:v>
      </x:c>
      <x:c r="Q95" t="n">
        <x:v>4557</x:v>
      </x:c>
      <x:c r="R95" s="14" t="n">
        <x:v>20</x:v>
      </x:c>
      <x:c r="S95" t="n">
        <x:v>33</x:v>
      </x:c>
      <x:c r="T95" t="n">
        <x:v>1</x:v>
      </x:c>
      <x:c r="U95" t="n">
        <x:v>25</x:v>
      </x:c>
      <x:c r="V95" s="16" t="n">
        <x:v>58</x:v>
      </x:c>
      <x:c r="W95" t="str">
        <x:v>Parsed from Tracker.gg MHTML/PDF export; competitive rows only.</x:v>
      </x:c>
      <x:c r="X95" t="n">
        <x:f>IF(L95="Win",1,0)</x:f>
        <x:v>1</x:v>
      </x:c>
      <x:c r="Y95" s="14" t="n">
        <x:f>IF(L95="Loss",1,0)</x:f>
        <x:v>0</x:v>
      </x:c>
      <x:c r="Z95" t="n">
        <x:f>IF(L95="Draw/Unknown",1,0)</x:f>
        <x:v>0</x:v>
      </x:c>
      <x:c r="AA95" s="16" t="str">
        <x:f>IF(OR(N95="",O95=""),"",N95-O95)</x:f>
      </x:c>
      <x:c r="AB95" s="16" t="n">
        <x:f>IF(T95=0,S95+U95,(S95+U95)/T95)</x:f>
        <x:v>58</x:v>
      </x:c>
      <x:c r="AC95" t="n">
        <x:f>S95+U95</x:f>
        <x:v>58</x:v>
      </x:c>
      <x:c r="AD95" t="n">
        <x:f>IF(T95=0,1,0)</x:f>
        <x:v>0</x:v>
      </x:c>
      <x:c r="AE95" t="str">
        <x:f>IF(R95&gt;0,"Gain",IF(R95&lt;0,"Loss","Neutral"))</x:f>
        <x:v>Gain</x:v>
      </x:c>
    </x:row>
    <x:row r="96">
      <x:c r="A96" t="n">
        <x:v>95</x:v>
      </x:c>
      <x:c r="B96" s="12" t="n">
        <x:v>46165</x:v>
      </x:c>
      <x:c r="C96" t="str">
        <x:v>May 23</x:v>
      </x:c>
      <x:c r="D96" t="n">
        <x:v>39</x:v>
      </x:c>
      <x:c r="E96" t="n">
        <x:v>20</x:v>
      </x:c>
      <x:c r="F96" s="14" t="n">
        <x:v>19</x:v>
      </x:c>
      <x:c r="G96" t="str">
        <x:v>1w ago</x:v>
      </x:c>
      <x:c r="H96" t="str">
        <x:v>Competitive</x:v>
      </x:c>
      <x:c r="I96" t="str">
        <x:v>Convergence</x:v>
      </x:c>
      <x:c r="J96" t="str">
        <x:v>Central Park</x:v>
      </x:c>
      <x:c r="K96" t="str">
        <x:v>Ultron</x:v>
      </x:c>
      <x:c r="L96" t="str">
        <x:v>Loss</x:v>
      </x:c>
      <x:c r="M96" t="str"/>
      <x:c r="N96" t="n">
        <x:v>0</x:v>
      </x:c>
      <x:c r="O96" t="n">
        <x:v>1</x:v>
      </x:c>
      <x:c r="P96" t="str">
        <x:v>Grandmaster III</x:v>
      </x:c>
      <x:c r="Q96" t="n">
        <x:v>4537</x:v>
      </x:c>
      <x:c r="R96" s="14" t="n">
        <x:v>-22</x:v>
      </x:c>
      <x:c r="S96" t="n">
        <x:v>1</x:v>
      </x:c>
      <x:c r="T96" t="n">
        <x:v>5</x:v>
      </x:c>
      <x:c r="U96" t="n">
        <x:v>1</x:v>
      </x:c>
      <x:c r="V96" s="16" t="n">
        <x:v>0.4</x:v>
      </x:c>
      <x:c r="W96" t="str">
        <x:v>Parsed from Tracker.gg MHTML/PDF export; competitive rows only.</x:v>
      </x:c>
      <x:c r="X96" t="n">
        <x:f>IF(L96="Win",1,0)</x:f>
        <x:v>0</x:v>
      </x:c>
      <x:c r="Y96" s="14" t="n">
        <x:f>IF(L96="Loss",1,0)</x:f>
        <x:v>1</x:v>
      </x:c>
      <x:c r="Z96" t="n">
        <x:f>IF(L96="Draw/Unknown",1,0)</x:f>
        <x:v>0</x:v>
      </x:c>
      <x:c r="AA96" s="16" t="str">
        <x:f>IF(OR(N96="",O96=""),"",N96-O96)</x:f>
      </x:c>
      <x:c r="AB96" s="16" t="n">
        <x:f>IF(T96=0,S96+U96,(S96+U96)/T96)</x:f>
        <x:v>0.4</x:v>
      </x:c>
      <x:c r="AC96" t="n">
        <x:f>S96+U96</x:f>
        <x:v>2</x:v>
      </x:c>
      <x:c r="AD96" t="n">
        <x:f>IF(T96=0,1,0)</x:f>
        <x:v>0</x:v>
      </x:c>
      <x:c r="AE96" t="str">
        <x:f>IF(R96&gt;0,"Gain",IF(R96&lt;0,"Loss","Neutral"))</x:f>
        <x:v>Loss</x:v>
      </x:c>
    </x:row>
    <x:row r="97">
      <x:c r="A97" t="n">
        <x:v>96</x:v>
      </x:c>
      <x:c r="B97" s="12" t="n">
        <x:v>46165</x:v>
      </x:c>
      <x:c r="C97" t="str">
        <x:v>May 23</x:v>
      </x:c>
      <x:c r="D97" t="n">
        <x:v>39</x:v>
      </x:c>
      <x:c r="E97" t="n">
        <x:v>20</x:v>
      </x:c>
      <x:c r="F97" s="14" t="n">
        <x:v>19</x:v>
      </x:c>
      <x:c r="G97" t="str">
        <x:v>1w ago</x:v>
      </x:c>
      <x:c r="H97" t="str">
        <x:v>Competitive</x:v>
      </x:c>
      <x:c r="I97" t="str">
        <x:v>Domination</x:v>
      </x:c>
      <x:c r="J97" t="str">
        <x:v>Krakoa</x:v>
      </x:c>
      <x:c r="K97" t="str">
        <x:v>Ultron</x:v>
      </x:c>
      <x:c r="L97" t="str">
        <x:v>Win</x:v>
      </x:c>
      <x:c r="M97" t="str"/>
      <x:c r="N97" t="n">
        <x:v>2</x:v>
      </x:c>
      <x:c r="O97" t="n">
        <x:v>0</x:v>
      </x:c>
      <x:c r="P97" t="str">
        <x:v>Grandmaster III</x:v>
      </x:c>
      <x:c r="Q97" t="n">
        <x:v>4558</x:v>
      </x:c>
      <x:c r="R97" s="14" t="n">
        <x:v>18</x:v>
      </x:c>
      <x:c r="S97" t="n">
        <x:v>11</x:v>
      </x:c>
      <x:c r="T97" t="n">
        <x:v>5</x:v>
      </x:c>
      <x:c r="U97" t="n">
        <x:v>20</x:v>
      </x:c>
      <x:c r="V97" s="16" t="n">
        <x:v>6.2</x:v>
      </x:c>
      <x:c r="W97" t="str">
        <x:v>Parsed from Tracker.gg MHTML/PDF export; competitive rows only.</x:v>
      </x:c>
      <x:c r="X97" t="n">
        <x:f>IF(L97="Win",1,0)</x:f>
        <x:v>1</x:v>
      </x:c>
      <x:c r="Y97" s="14" t="n">
        <x:f>IF(L97="Loss",1,0)</x:f>
        <x:v>0</x:v>
      </x:c>
      <x:c r="Z97" t="n">
        <x:f>IF(L97="Draw/Unknown",1,0)</x:f>
        <x:v>0</x:v>
      </x:c>
      <x:c r="AA97" s="16" t="str">
        <x:f>IF(OR(N97="",O97=""),"",N97-O97)</x:f>
      </x:c>
      <x:c r="AB97" s="16" t="n">
        <x:f>IF(T97=0,S97+U97,(S97+U97)/T97)</x:f>
        <x:v>6.2</x:v>
      </x:c>
      <x:c r="AC97" t="n">
        <x:f>S97+U97</x:f>
        <x:v>31</x:v>
      </x:c>
      <x:c r="AD97" t="n">
        <x:f>IF(T97=0,1,0)</x:f>
        <x:v>0</x:v>
      </x:c>
      <x:c r="AE97" t="str">
        <x:f>IF(R97&gt;0,"Gain",IF(R97&lt;0,"Loss","Neutral"))</x:f>
        <x:v>Gain</x:v>
      </x:c>
    </x:row>
    <x:row r="98">
      <x:c r="A98" t="n">
        <x:v>97</x:v>
      </x:c>
      <x:c r="B98" s="12" t="n">
        <x:v>46165</x:v>
      </x:c>
      <x:c r="C98" t="str">
        <x:v>May 23</x:v>
      </x:c>
      <x:c r="D98" t="n">
        <x:v>39</x:v>
      </x:c>
      <x:c r="E98" t="n">
        <x:v>20</x:v>
      </x:c>
      <x:c r="F98" s="14" t="n">
        <x:v>19</x:v>
      </x:c>
      <x:c r="G98" t="str">
        <x:v>1w ago</x:v>
      </x:c>
      <x:c r="H98" t="str">
        <x:v>Competitive</x:v>
      </x:c>
      <x:c r="I98" t="str">
        <x:v>Convoy</x:v>
      </x:c>
      <x:c r="J98" t="str">
        <x:v>Spider-Islands</x:v>
      </x:c>
      <x:c r="K98" t="str">
        <x:v>Rogue</x:v>
      </x:c>
      <x:c r="L98" t="str">
        <x:v>Win</x:v>
      </x:c>
      <x:c r="M98" t="str"/>
      <x:c r="N98" t="n">
        <x:v>2</x:v>
      </x:c>
      <x:c r="O98" t="n">
        <x:v>1</x:v>
      </x:c>
      <x:c r="P98" t="str">
        <x:v>Grandmaster III</x:v>
      </x:c>
      <x:c r="Q98" t="n">
        <x:v>4540</x:v>
      </x:c>
      <x:c r="R98" s="14" t="n">
        <x:v>20</x:v>
      </x:c>
      <x:c r="S98" t="n">
        <x:v>19</x:v>
      </x:c>
      <x:c r="T98" t="n">
        <x:v>12</x:v>
      </x:c>
      <x:c r="U98" t="n">
        <x:v>20</x:v>
      </x:c>
      <x:c r="V98" s="16" t="n">
        <x:v>3.25</x:v>
      </x:c>
      <x:c r="W98" t="str">
        <x:v>Parsed from Tracker.gg MHTML/PDF export; competitive rows only.</x:v>
      </x:c>
      <x:c r="X98" t="n">
        <x:f>IF(L98="Win",1,0)</x:f>
        <x:v>1</x:v>
      </x:c>
      <x:c r="Y98" s="14" t="n">
        <x:f>IF(L98="Loss",1,0)</x:f>
        <x:v>0</x:v>
      </x:c>
      <x:c r="Z98" t="n">
        <x:f>IF(L98="Draw/Unknown",1,0)</x:f>
        <x:v>0</x:v>
      </x:c>
      <x:c r="AA98" s="16" t="n">
        <x:f>IF(OR(N98="",O98=""),"",N98-O98)</x:f>
        <x:v>1</x:v>
      </x:c>
      <x:c r="AB98" s="16" t="n">
        <x:f>IF(T98=0,S98+U98,(S98+U98)/T98)</x:f>
        <x:v>3.25</x:v>
      </x:c>
      <x:c r="AC98" t="n">
        <x:f>S98+U98</x:f>
        <x:v>39</x:v>
      </x:c>
      <x:c r="AD98" t="n">
        <x:f>IF(T98=0,1,0)</x:f>
        <x:v>0</x:v>
      </x:c>
      <x:c r="AE98" t="str">
        <x:f>IF(R98&gt;0,"Gain",IF(R98&lt;0,"Loss","Neutral"))</x:f>
        <x:v>Gain</x:v>
      </x:c>
    </x:row>
    <x:row r="99">
      <x:c r="A99" t="n">
        <x:v>98</x:v>
      </x:c>
      <x:c r="B99" s="12" t="n">
        <x:v>46165</x:v>
      </x:c>
      <x:c r="C99" t="str">
        <x:v>May 23</x:v>
      </x:c>
      <x:c r="D99" t="n">
        <x:v>39</x:v>
      </x:c>
      <x:c r="E99" t="n">
        <x:v>20</x:v>
      </x:c>
      <x:c r="F99" s="14" t="n">
        <x:v>19</x:v>
      </x:c>
      <x:c r="G99" t="str">
        <x:v>1w ago</x:v>
      </x:c>
      <x:c r="H99" t="str">
        <x:v>Competitive</x:v>
      </x:c>
      <x:c r="I99" t="str">
        <x:v>Convergence</x:v>
      </x:c>
      <x:c r="J99" t="str">
        <x:v>Symbiotic Surface</x:v>
      </x:c>
      <x:c r="K99" t="str">
        <x:v>Squirrel Girl</x:v>
      </x:c>
      <x:c r="L99" t="str">
        <x:v>Win</x:v>
      </x:c>
      <x:c r="M99" t="str"/>
      <x:c r="N99" t="n">
        <x:v>0</x:v>
      </x:c>
      <x:c r="O99" t="n">
        <x:v>0</x:v>
      </x:c>
      <x:c r="P99" t="str">
        <x:v>Grandmaster III</x:v>
      </x:c>
      <x:c r="Q99" t="n">
        <x:v>4520</x:v>
      </x:c>
      <x:c r="R99" s="14" t="n">
        <x:v>21</x:v>
      </x:c>
      <x:c r="S99" t="n">
        <x:v>10</x:v>
      </x:c>
      <x:c r="T99" t="n">
        <x:v>1</x:v>
      </x:c>
      <x:c r="U99" t="n">
        <x:v>1</x:v>
      </x:c>
      <x:c r="V99" s="16" t="n">
        <x:v>11</x:v>
      </x:c>
      <x:c r="W99" t="str">
        <x:v>Parsed from Tracker.gg MHTML/PDF export; competitive rows only.</x:v>
      </x:c>
      <x:c r="X99" t="n">
        <x:f>IF(L99="Win",1,0)</x:f>
        <x:v>1</x:v>
      </x:c>
      <x:c r="Y99" s="14" t="n">
        <x:f>IF(L99="Loss",1,0)</x:f>
        <x:v>0</x:v>
      </x:c>
      <x:c r="Z99" t="n">
        <x:f>IF(L99="Draw/Unknown",1,0)</x:f>
        <x:v>0</x:v>
      </x:c>
      <x:c r="AA99" s="16" t="str">
        <x:f>IF(OR(N99="",O99=""),"",N99-O99)</x:f>
      </x:c>
      <x:c r="AB99" s="16" t="n">
        <x:f>IF(T99=0,S99+U99,(S99+U99)/T99)</x:f>
        <x:v>11</x:v>
      </x:c>
      <x:c r="AC99" t="n">
        <x:f>S99+U99</x:f>
        <x:v>11</x:v>
      </x:c>
      <x:c r="AD99" t="n">
        <x:f>IF(T99=0,1,0)</x:f>
        <x:v>0</x:v>
      </x:c>
      <x:c r="AE99" t="str">
        <x:f>IF(R99&gt;0,"Gain",IF(R99&lt;0,"Loss","Neutral"))</x:f>
        <x:v>Gain</x:v>
      </x:c>
    </x:row>
    <x:row r="100">
      <x:c r="A100" t="n">
        <x:v>99</x:v>
      </x:c>
      <x:c r="B100" s="12" t="n">
        <x:v>46165</x:v>
      </x:c>
      <x:c r="C100" t="str">
        <x:v>May 23</x:v>
      </x:c>
      <x:c r="D100" t="n">
        <x:v>39</x:v>
      </x:c>
      <x:c r="E100" t="n">
        <x:v>20</x:v>
      </x:c>
      <x:c r="F100" s="14" t="n">
        <x:v>19</x:v>
      </x:c>
      <x:c r="G100" t="str">
        <x:v>1w ago</x:v>
      </x:c>
      <x:c r="H100" t="str">
        <x:v>Competitive</x:v>
      </x:c>
      <x:c r="I100" t="str">
        <x:v>Domination</x:v>
      </x:c>
      <x:c r="J100" t="str">
        <x:v>Birnin T'Challa</x:v>
      </x:c>
      <x:c r="K100" t="str">
        <x:v>Peni Parker</x:v>
      </x:c>
      <x:c r="L100" t="str">
        <x:v>Win</x:v>
      </x:c>
      <x:c r="M100" t="str">
        <x:v>MVP</x:v>
      </x:c>
      <x:c r="N100" t="n">
        <x:v>1</x:v>
      </x:c>
      <x:c r="O100" t="n">
        <x:v>2</x:v>
      </x:c>
      <x:c r="P100" t="str">
        <x:v>Diamond I</x:v>
      </x:c>
      <x:c r="Q100" t="n">
        <x:v>4498</x:v>
      </x:c>
      <x:c r="R100" s="14" t="n">
        <x:v>30</x:v>
      </x:c>
      <x:c r="S100" t="n">
        <x:v>19</x:v>
      </x:c>
      <x:c r="T100" t="n">
        <x:v>6</x:v>
      </x:c>
      <x:c r="U100" t="n">
        <x:v>7</x:v>
      </x:c>
      <x:c r="V100" s="16" t="n">
        <x:v>4.33</x:v>
      </x:c>
      <x:c r="W100" t="str">
        <x:v>Parsed from Tracker.gg MHTML/PDF export; competitive rows only.</x:v>
      </x:c>
      <x:c r="X100" t="n">
        <x:f>IF(L100="Win",1,0)</x:f>
        <x:v>1</x:v>
      </x:c>
      <x:c r="Y100" s="14" t="n">
        <x:f>IF(L100="Loss",1,0)</x:f>
        <x:v>0</x:v>
      </x:c>
      <x:c r="Z100" t="n">
        <x:f>IF(L100="Draw/Unknown",1,0)</x:f>
        <x:v>0</x:v>
      </x:c>
      <x:c r="AA100" s="16" t="n">
        <x:f>IF(OR(N100="",O100=""),"",N100-O100)</x:f>
        <x:v>-1</x:v>
      </x:c>
      <x:c r="AB100" s="16" t="n">
        <x:f>IF(T100=0,S100+U100,(S100+U100)/T100)</x:f>
        <x:v>4.333333333333333</x:v>
      </x:c>
      <x:c r="AC100" t="n">
        <x:f>S100+U100</x:f>
        <x:v>26</x:v>
      </x:c>
      <x:c r="AD100" t="n">
        <x:f>IF(T100=0,1,0)</x:f>
        <x:v>0</x:v>
      </x:c>
      <x:c r="AE100" t="str">
        <x:f>IF(R100&gt;0,"Gain",IF(R100&lt;0,"Loss","Neutral"))</x:f>
        <x:v>Gain</x:v>
      </x:c>
    </x:row>
    <x:row r="101">
      <x:c r="A101" t="n">
        <x:v>100</x:v>
      </x:c>
      <x:c r="B101" s="12" t="n">
        <x:v>46165</x:v>
      </x:c>
      <x:c r="C101" t="str">
        <x:v>May 23</x:v>
      </x:c>
      <x:c r="D101" t="n">
        <x:v>39</x:v>
      </x:c>
      <x:c r="E101" t="n">
        <x:v>20</x:v>
      </x:c>
      <x:c r="F101" s="14" t="n">
        <x:v>19</x:v>
      </x:c>
      <x:c r="G101" t="str">
        <x:v>1w ago</x:v>
      </x:c>
      <x:c r="H101" t="str">
        <x:v>Competitive</x:v>
      </x:c>
      <x:c r="I101" t="str">
        <x:v>Convergence</x:v>
      </x:c>
      <x:c r="J101" t="str">
        <x:v>Shin-Shibuya</x:v>
      </x:c>
      <x:c r="K101" t="str">
        <x:v>Squirrel Girl</x:v>
      </x:c>
      <x:c r="L101" t="str">
        <x:v>Loss</x:v>
      </x:c>
      <x:c r="M101" t="str">
        <x:v>SVP</x:v>
      </x:c>
      <x:c r="N101" t="n">
        <x:v>1</x:v>
      </x:c>
      <x:c r="O101" t="n">
        <x:v>0</x:v>
      </x:c>
      <x:c r="P101" t="str">
        <x:v>Diamond I</x:v>
      </x:c>
      <x:c r="Q101" t="n">
        <x:v>4468</x:v>
      </x:c>
      <x:c r="R101" s="14" t="n">
        <x:v>-17</x:v>
      </x:c>
      <x:c r="S101" t="n">
        <x:v>15</x:v>
      </x:c>
      <x:c r="T101" t="n">
        <x:v>7</x:v>
      </x:c>
      <x:c r="U101" t="n">
        <x:v>1</x:v>
      </x:c>
      <x:c r="V101" s="16" t="n">
        <x:v>2.29</x:v>
      </x:c>
      <x:c r="W101" t="str">
        <x:v>Parsed from Tracker.gg MHTML/PDF export; competitive rows only.</x:v>
      </x:c>
      <x:c r="X101" t="n">
        <x:f>IF(L101="Win",1,0)</x:f>
        <x:v>0</x:v>
      </x:c>
      <x:c r="Y101" s="14" t="n">
        <x:f>IF(L101="Loss",1,0)</x:f>
        <x:v>1</x:v>
      </x:c>
      <x:c r="Z101" t="n">
        <x:f>IF(L101="Draw/Unknown",1,0)</x:f>
        <x:v>0</x:v>
      </x:c>
      <x:c r="AA101" s="16" t="str">
        <x:f>IF(OR(N101="",O101=""),"",N101-O101)</x:f>
      </x:c>
      <x:c r="AB101" s="16" t="n">
        <x:f>IF(T101=0,S101+U101,(S101+U101)/T101)</x:f>
        <x:v>2.2857142857142856</x:v>
      </x:c>
      <x:c r="AC101" t="n">
        <x:f>S101+U101</x:f>
        <x:v>16</x:v>
      </x:c>
      <x:c r="AD101" t="n">
        <x:f>IF(T101=0,1,0)</x:f>
        <x:v>0</x:v>
      </x:c>
      <x:c r="AE101" t="str">
        <x:f>IF(R101&gt;0,"Gain",IF(R101&lt;0,"Loss","Neutral"))</x:f>
        <x:v>Loss</x:v>
      </x:c>
    </x:row>
    <x:row r="102">
      <x:c r="A102" t="n">
        <x:v>101</x:v>
      </x:c>
      <x:c r="B102" s="12" t="n">
        <x:v>46165</x:v>
      </x:c>
      <x:c r="C102" t="str">
        <x:v>May 23</x:v>
      </x:c>
      <x:c r="D102" t="n">
        <x:v>39</x:v>
      </x:c>
      <x:c r="E102" t="n">
        <x:v>20</x:v>
      </x:c>
      <x:c r="F102" s="14" t="n">
        <x:v>19</x:v>
      </x:c>
      <x:c r="G102" t="str">
        <x:v>1w ago</x:v>
      </x:c>
      <x:c r="H102" t="str">
        <x:v>Competitive</x:v>
      </x:c>
      <x:c r="I102" t="str">
        <x:v>Domination</x:v>
      </x:c>
      <x:c r="J102" t="str">
        <x:v>Krakoa</x:v>
      </x:c>
      <x:c r="K102" t="str">
        <x:v>Peni Parker</x:v>
      </x:c>
      <x:c r="L102" t="str">
        <x:v>Win</x:v>
      </x:c>
      <x:c r="M102" t="str"/>
      <x:c r="N102" t="n">
        <x:v>0</x:v>
      </x:c>
      <x:c r="O102" t="n">
        <x:v>1</x:v>
      </x:c>
      <x:c r="P102" t="str">
        <x:v>Diamond I</x:v>
      </x:c>
      <x:c r="Q102" t="n">
        <x:v>4485</x:v>
      </x:c>
      <x:c r="R102" s="14" t="n">
        <x:v>26</x:v>
      </x:c>
      <x:c r="S102" t="n">
        <x:v>11</x:v>
      </x:c>
      <x:c r="T102" t="n">
        <x:v>1</x:v>
      </x:c>
      <x:c r="U102" t="n">
        <x:v>13</x:v>
      </x:c>
      <x:c r="V102" s="16" t="n">
        <x:v>24</x:v>
      </x:c>
      <x:c r="W102" t="str">
        <x:v>Parsed from Tracker.gg MHTML/PDF export; competitive rows only.</x:v>
      </x:c>
      <x:c r="X102" t="n">
        <x:f>IF(L102="Win",1,0)</x:f>
        <x:v>1</x:v>
      </x:c>
      <x:c r="Y102" s="14" t="n">
        <x:f>IF(L102="Loss",1,0)</x:f>
        <x:v>0</x:v>
      </x:c>
      <x:c r="Z102" t="n">
        <x:f>IF(L102="Draw/Unknown",1,0)</x:f>
        <x:v>0</x:v>
      </x:c>
      <x:c r="AA102" s="16" t="str">
        <x:f>IF(OR(N102="",O102=""),"",N102-O102)</x:f>
      </x:c>
      <x:c r="AB102" s="16" t="n">
        <x:f>IF(T102=0,S102+U102,(S102+U102)/T102)</x:f>
        <x:v>24</x:v>
      </x:c>
      <x:c r="AC102" t="n">
        <x:f>S102+U102</x:f>
        <x:v>24</x:v>
      </x:c>
      <x:c r="AD102" t="n">
        <x:f>IF(T102=0,1,0)</x:f>
        <x:v>0</x:v>
      </x:c>
      <x:c r="AE102" t="str">
        <x:f>IF(R102&gt;0,"Gain",IF(R102&lt;0,"Loss","Neutral"))</x:f>
        <x:v>Gain</x:v>
      </x:c>
    </x:row>
    <x:row r="103">
      <x:c r="A103" t="n">
        <x:v>102</x:v>
      </x:c>
      <x:c r="B103" s="12" t="n">
        <x:v>46165</x:v>
      </x:c>
      <x:c r="C103" t="str">
        <x:v>May 23</x:v>
      </x:c>
      <x:c r="D103" t="n">
        <x:v>39</x:v>
      </x:c>
      <x:c r="E103" t="n">
        <x:v>20</x:v>
      </x:c>
      <x:c r="F103" s="14" t="n">
        <x:v>19</x:v>
      </x:c>
      <x:c r="G103" t="str">
        <x:v>1w ago</x:v>
      </x:c>
      <x:c r="H103" t="str">
        <x:v>Competitive</x:v>
      </x:c>
      <x:c r="I103" t="str">
        <x:v>Convoy</x:v>
      </x:c>
      <x:c r="J103" t="str">
        <x:v>Museum of Contemplation</x:v>
      </x:c>
      <x:c r="K103" t="str">
        <x:v>Groot</x:v>
      </x:c>
      <x:c r="L103" t="str">
        <x:v>Loss</x:v>
      </x:c>
      <x:c r="M103" t="str"/>
      <x:c r="N103" t="n">
        <x:v>2</x:v>
      </x:c>
      <x:c r="O103" t="n">
        <x:v>3</x:v>
      </x:c>
      <x:c r="P103" t="str">
        <x:v>Diamond I</x:v>
      </x:c>
      <x:c r="Q103" t="n">
        <x:v>4458</x:v>
      </x:c>
      <x:c r="R103" s="14" t="n">
        <x:v>-24</x:v>
      </x:c>
      <x:c r="S103" t="n">
        <x:v>11</x:v>
      </x:c>
      <x:c r="T103" t="n">
        <x:v>13</x:v>
      </x:c>
      <x:c r="U103" t="n">
        <x:v>15</x:v>
      </x:c>
      <x:c r="V103" s="16" t="n">
        <x:v>2</x:v>
      </x:c>
      <x:c r="W103" t="str">
        <x:v>Parsed from Tracker.gg MHTML/PDF export; competitive rows only.</x:v>
      </x:c>
      <x:c r="X103" t="n">
        <x:f>IF(L103="Win",1,0)</x:f>
        <x:v>0</x:v>
      </x:c>
      <x:c r="Y103" s="14" t="n">
        <x:f>IF(L103="Loss",1,0)</x:f>
        <x:v>1</x:v>
      </x:c>
      <x:c r="Z103" t="n">
        <x:f>IF(L103="Draw/Unknown",1,0)</x:f>
        <x:v>0</x:v>
      </x:c>
      <x:c r="AA103" s="16" t="n">
        <x:f>IF(OR(N103="",O103=""),"",N103-O103)</x:f>
        <x:v>-1</x:v>
      </x:c>
      <x:c r="AB103" s="16" t="n">
        <x:f>IF(T103=0,S103+U103,(S103+U103)/T103)</x:f>
        <x:v>2</x:v>
      </x:c>
      <x:c r="AC103" t="n">
        <x:f>S103+U103</x:f>
        <x:v>26</x:v>
      </x:c>
      <x:c r="AD103" t="n">
        <x:f>IF(T103=0,1,0)</x:f>
        <x:v>0</x:v>
      </x:c>
      <x:c r="AE103" t="str">
        <x:f>IF(R103&gt;0,"Gain",IF(R103&lt;0,"Loss","Neutral"))</x:f>
        <x:v>Loss</x:v>
      </x:c>
    </x:row>
    <x:row r="104">
      <x:c r="A104" t="n">
        <x:v>103</x:v>
      </x:c>
      <x:c r="B104" s="12" t="n">
        <x:v>46165</x:v>
      </x:c>
      <x:c r="C104" t="str">
        <x:v>May 23</x:v>
      </x:c>
      <x:c r="D104" t="n">
        <x:v>39</x:v>
      </x:c>
      <x:c r="E104" t="n">
        <x:v>20</x:v>
      </x:c>
      <x:c r="F104" s="14" t="n">
        <x:v>19</x:v>
      </x:c>
      <x:c r="G104" t="str">
        <x:v>1w ago</x:v>
      </x:c>
      <x:c r="H104" t="str">
        <x:v>Competitive</x:v>
      </x:c>
      <x:c r="I104" t="str">
        <x:v>Convergence</x:v>
      </x:c>
      <x:c r="J104" t="str">
        <x:v>Shin-Shibuya</x:v>
      </x:c>
      <x:c r="K104" t="str">
        <x:v>Cloak &amp; Dagger</x:v>
      </x:c>
      <x:c r="L104" t="str">
        <x:v>Win</x:v>
      </x:c>
      <x:c r="M104" t="str"/>
      <x:c r="N104" t="n">
        <x:v>0</x:v>
      </x:c>
      <x:c r="O104" t="n">
        <x:v>1</x:v>
      </x:c>
      <x:c r="P104" t="str">
        <x:v>Diamond I</x:v>
      </x:c>
      <x:c r="Q104" t="n">
        <x:v>4482</x:v>
      </x:c>
      <x:c r="R104" s="14" t="n">
        <x:v>22</x:v>
      </x:c>
      <x:c r="S104" t="n">
        <x:v>9</x:v>
      </x:c>
      <x:c r="T104" t="n">
        <x:v>2</x:v>
      </x:c>
      <x:c r="U104" t="n">
        <x:v>20</x:v>
      </x:c>
      <x:c r="V104" s="16" t="n">
        <x:v>14.5</x:v>
      </x:c>
      <x:c r="W104" t="str">
        <x:v>Parsed from Tracker.gg MHTML/PDF export; competitive rows only.</x:v>
      </x:c>
      <x:c r="X104" t="n">
        <x:f>IF(L104="Win",1,0)</x:f>
        <x:v>1</x:v>
      </x:c>
      <x:c r="Y104" s="14" t="n">
        <x:f>IF(L104="Loss",1,0)</x:f>
        <x:v>0</x:v>
      </x:c>
      <x:c r="Z104" t="n">
        <x:f>IF(L104="Draw/Unknown",1,0)</x:f>
        <x:v>0</x:v>
      </x:c>
      <x:c r="AA104" s="16" t="str">
        <x:f>IF(OR(N104="",O104=""),"",N104-O104)</x:f>
      </x:c>
      <x:c r="AB104" s="16" t="n">
        <x:f>IF(T104=0,S104+U104,(S104+U104)/T104)</x:f>
        <x:v>14.5</x:v>
      </x:c>
      <x:c r="AC104" t="n">
        <x:f>S104+U104</x:f>
        <x:v>29</x:v>
      </x:c>
      <x:c r="AD104" t="n">
        <x:f>IF(T104=0,1,0)</x:f>
        <x:v>0</x:v>
      </x:c>
      <x:c r="AE104" t="str">
        <x:f>IF(R104&gt;0,"Gain",IF(R104&lt;0,"Loss","Neutral"))</x:f>
        <x:v>Gain</x:v>
      </x:c>
    </x:row>
    <x:row r="105">
      <x:c r="A105" t="n">
        <x:v>104</x:v>
      </x:c>
      <x:c r="B105" s="12" t="n">
        <x:v>46165</x:v>
      </x:c>
      <x:c r="C105" t="str">
        <x:v>May 23</x:v>
      </x:c>
      <x:c r="D105" t="n">
        <x:v>39</x:v>
      </x:c>
      <x:c r="E105" t="n">
        <x:v>20</x:v>
      </x:c>
      <x:c r="F105" s="14" t="n">
        <x:v>19</x:v>
      </x:c>
      <x:c r="G105" t="str">
        <x:v>1w ago</x:v>
      </x:c>
      <x:c r="H105" t="str">
        <x:v>Competitive</x:v>
      </x:c>
      <x:c r="I105" t="str">
        <x:v>Convoy</x:v>
      </x:c>
      <x:c r="J105" t="str">
        <x:v>Midtown</x:v>
      </x:c>
      <x:c r="K105" t="str">
        <x:v>The Thing</x:v>
      </x:c>
      <x:c r="L105" t="str">
        <x:v>Loss</x:v>
      </x:c>
      <x:c r="M105" t="str"/>
      <x:c r="N105" t="n">
        <x:v>3</x:v>
      </x:c>
      <x:c r="O105" t="n">
        <x:v>1</x:v>
      </x:c>
      <x:c r="P105" t="str">
        <x:v>Diamond I</x:v>
      </x:c>
      <x:c r="Q105" t="n">
        <x:v>4460</x:v>
      </x:c>
      <x:c r="R105" s="14" t="n">
        <x:v>-23</x:v>
      </x:c>
      <x:c r="S105" t="n">
        <x:v>12</x:v>
      </x:c>
      <x:c r="T105" t="n">
        <x:v>12</x:v>
      </x:c>
      <x:c r="U105" t="n">
        <x:v>2</x:v>
      </x:c>
      <x:c r="V105" s="16" t="n">
        <x:v>1.17</x:v>
      </x:c>
      <x:c r="W105" t="str">
        <x:v>Parsed from Tracker.gg MHTML/PDF export; competitive rows only.</x:v>
      </x:c>
      <x:c r="X105" t="n">
        <x:f>IF(L105="Win",1,0)</x:f>
        <x:v>0</x:v>
      </x:c>
      <x:c r="Y105" s="14" t="n">
        <x:f>IF(L105="Loss",1,0)</x:f>
        <x:v>1</x:v>
      </x:c>
      <x:c r="Z105" t="n">
        <x:f>IF(L105="Draw/Unknown",1,0)</x:f>
        <x:v>0</x:v>
      </x:c>
      <x:c r="AA105" s="16" t="n">
        <x:f>IF(OR(N105="",O105=""),"",N105-O105)</x:f>
        <x:v>2</x:v>
      </x:c>
      <x:c r="AB105" s="16" t="n">
        <x:f>IF(T105=0,S105+U105,(S105+U105)/T105)</x:f>
        <x:v>1.1666666666666667</x:v>
      </x:c>
      <x:c r="AC105" t="n">
        <x:f>S105+U105</x:f>
        <x:v>14</x:v>
      </x:c>
      <x:c r="AD105" t="n">
        <x:f>IF(T105=0,1,0)</x:f>
        <x:v>0</x:v>
      </x:c>
      <x:c r="AE105" t="str">
        <x:f>IF(R105&gt;0,"Gain",IF(R105&lt;0,"Loss","Neutral"))</x:f>
        <x:v>Loss</x:v>
      </x:c>
    </x:row>
    <x:row r="106">
      <x:c r="A106" t="n">
        <x:v>105</x:v>
      </x:c>
      <x:c r="B106" s="12" t="n">
        <x:v>46165</x:v>
      </x:c>
      <x:c r="C106" t="str">
        <x:v>May 23</x:v>
      </x:c>
      <x:c r="D106" t="n">
        <x:v>39</x:v>
      </x:c>
      <x:c r="E106" t="n">
        <x:v>20</x:v>
      </x:c>
      <x:c r="F106" s="14" t="n">
        <x:v>19</x:v>
      </x:c>
      <x:c r="G106" t="str">
        <x:v>1w ago</x:v>
      </x:c>
      <x:c r="H106" t="str">
        <x:v>Competitive</x:v>
      </x:c>
      <x:c r="I106" t="str">
        <x:v>Convoy</x:v>
      </x:c>
      <x:c r="J106" t="str">
        <x:v>Arakko</x:v>
      </x:c>
      <x:c r="K106" t="str">
        <x:v>Namor</x:v>
      </x:c>
      <x:c r="L106" t="str">
        <x:v>Loss</x:v>
      </x:c>
      <x:c r="M106" t="str">
        <x:v>SVP</x:v>
      </x:c>
      <x:c r="N106" t="n">
        <x:v>3</x:v>
      </x:c>
      <x:c r="O106" t="n">
        <x:v>2</x:v>
      </x:c>
      <x:c r="P106" t="str">
        <x:v>Diamond I</x:v>
      </x:c>
      <x:c r="Q106" t="n">
        <x:v>4482</x:v>
      </x:c>
      <x:c r="R106" s="14" t="n">
        <x:v>-17</x:v>
      </x:c>
      <x:c r="S106" t="n">
        <x:v>18</x:v>
      </x:c>
      <x:c r="T106" t="n">
        <x:v>15</x:v>
      </x:c>
      <x:c r="U106" t="n">
        <x:v>4</x:v>
      </x:c>
      <x:c r="V106" s="16" t="n">
        <x:v>1.47</x:v>
      </x:c>
      <x:c r="W106" t="str">
        <x:v>Parsed from Tracker.gg MHTML/PDF export; competitive rows only.</x:v>
      </x:c>
      <x:c r="X106" t="n">
        <x:f>IF(L106="Win",1,0)</x:f>
        <x:v>0</x:v>
      </x:c>
      <x:c r="Y106" s="14" t="n">
        <x:f>IF(L106="Loss",1,0)</x:f>
        <x:v>1</x:v>
      </x:c>
      <x:c r="Z106" t="n">
        <x:f>IF(L106="Draw/Unknown",1,0)</x:f>
        <x:v>0</x:v>
      </x:c>
      <x:c r="AA106" s="16" t="n">
        <x:f>IF(OR(N106="",O106=""),"",N106-O106)</x:f>
        <x:v>1</x:v>
      </x:c>
      <x:c r="AB106" s="16" t="n">
        <x:f>IF(T106=0,S106+U106,(S106+U106)/T106)</x:f>
        <x:v>1.4666666666666666</x:v>
      </x:c>
      <x:c r="AC106" t="n">
        <x:f>S106+U106</x:f>
        <x:v>22</x:v>
      </x:c>
      <x:c r="AD106" t="n">
        <x:f>IF(T106=0,1,0)</x:f>
        <x:v>0</x:v>
      </x:c>
      <x:c r="AE106" t="str">
        <x:f>IF(R106&gt;0,"Gain",IF(R106&lt;0,"Loss","Neutral"))</x:f>
        <x:v>Loss</x:v>
      </x:c>
    </x:row>
    <x:row r="107">
      <x:c r="A107" t="n">
        <x:v>106</x:v>
      </x:c>
      <x:c r="B107" s="12" t="n">
        <x:v>46165</x:v>
      </x:c>
      <x:c r="C107" t="str">
        <x:v>May 23</x:v>
      </x:c>
      <x:c r="D107" t="n">
        <x:v>39</x:v>
      </x:c>
      <x:c r="E107" t="n">
        <x:v>20</x:v>
      </x:c>
      <x:c r="F107" s="14" t="n">
        <x:v>19</x:v>
      </x:c>
      <x:c r="G107" t="str">
        <x:v>1w ago</x:v>
      </x:c>
      <x:c r="H107" t="str">
        <x:v>Competitive</x:v>
      </x:c>
      <x:c r="I107" t="str">
        <x:v>Domination</x:v>
      </x:c>
      <x:c r="J107" t="str">
        <x:v>Krakoa</x:v>
      </x:c>
      <x:c r="K107" t="str">
        <x:v>The Thing</x:v>
      </x:c>
      <x:c r="L107" t="str">
        <x:v>Win</x:v>
      </x:c>
      <x:c r="M107" t="str"/>
      <x:c r="N107" t="n">
        <x:v>0</x:v>
      </x:c>
      <x:c r="O107" t="n">
        <x:v>2</x:v>
      </x:c>
      <x:c r="P107" t="str">
        <x:v>Diamond I</x:v>
      </x:c>
      <x:c r="Q107" t="n">
        <x:v>4498</x:v>
      </x:c>
      <x:c r="R107" s="14" t="n">
        <x:v>25</x:v>
      </x:c>
      <x:c r="S107" t="n">
        <x:v>22</x:v>
      </x:c>
      <x:c r="T107" t="n">
        <x:v>3</x:v>
      </x:c>
      <x:c r="U107" t="n">
        <x:v>7</x:v>
      </x:c>
      <x:c r="V107" s="16" t="n">
        <x:v>9.67</x:v>
      </x:c>
      <x:c r="W107" t="str">
        <x:v>Parsed from Tracker.gg MHTML/PDF export; competitive rows only.</x:v>
      </x:c>
      <x:c r="X107" t="n">
        <x:f>IF(L107="Win",1,0)</x:f>
        <x:v>1</x:v>
      </x:c>
      <x:c r="Y107" s="14" t="n">
        <x:f>IF(L107="Loss",1,0)</x:f>
        <x:v>0</x:v>
      </x:c>
      <x:c r="Z107" t="n">
        <x:f>IF(L107="Draw/Unknown",1,0)</x:f>
        <x:v>0</x:v>
      </x:c>
      <x:c r="AA107" s="16" t="str">
        <x:f>IF(OR(N107="",O107=""),"",N107-O107)</x:f>
      </x:c>
      <x:c r="AB107" s="16" t="n">
        <x:f>IF(T107=0,S107+U107,(S107+U107)/T107)</x:f>
        <x:v>9.666666666666666</x:v>
      </x:c>
      <x:c r="AC107" t="n">
        <x:f>S107+U107</x:f>
        <x:v>29</x:v>
      </x:c>
      <x:c r="AD107" t="n">
        <x:f>IF(T107=0,1,0)</x:f>
        <x:v>0</x:v>
      </x:c>
      <x:c r="AE107" t="str">
        <x:f>IF(R107&gt;0,"Gain",IF(R107&lt;0,"Loss","Neutral"))</x:f>
        <x:v>Gain</x:v>
      </x:c>
    </x:row>
    <x:row r="108">
      <x:c r="A108" t="n">
        <x:v>107</x:v>
      </x:c>
      <x:c r="B108" s="12" t="n">
        <x:v>46165</x:v>
      </x:c>
      <x:c r="C108" t="str">
        <x:v>May 23</x:v>
      </x:c>
      <x:c r="D108" t="n">
        <x:v>39</x:v>
      </x:c>
      <x:c r="E108" t="n">
        <x:v>20</x:v>
      </x:c>
      <x:c r="F108" s="14" t="n">
        <x:v>19</x:v>
      </x:c>
      <x:c r="G108" t="str">
        <x:v>1w ago</x:v>
      </x:c>
      <x:c r="H108" t="str">
        <x:v>Competitive</x:v>
      </x:c>
      <x:c r="I108" t="str">
        <x:v>Domination</x:v>
      </x:c>
      <x:c r="J108" t="str">
        <x:v>Celestial Husk</x:v>
      </x:c>
      <x:c r="K108" t="str">
        <x:v>Groot</x:v>
      </x:c>
      <x:c r="L108" t="str">
        <x:v>Win</x:v>
      </x:c>
      <x:c r="M108" t="str"/>
      <x:c r="N108" t="n">
        <x:v>2</x:v>
      </x:c>
      <x:c r="O108" t="n">
        <x:v>0</x:v>
      </x:c>
      <x:c r="P108" t="str">
        <x:v>Diamond I</x:v>
      </x:c>
      <x:c r="Q108" t="n">
        <x:v>4473</x:v>
      </x:c>
      <x:c r="R108" s="14" t="n">
        <x:v>20</x:v>
      </x:c>
      <x:c r="S108" t="n">
        <x:v>13</x:v>
      </x:c>
      <x:c r="T108" t="n">
        <x:v>9</x:v>
      </x:c>
      <x:c r="U108" t="n">
        <x:v>4</x:v>
      </x:c>
      <x:c r="V108" s="16" t="n">
        <x:v>1.89</x:v>
      </x:c>
      <x:c r="W108" t="str">
        <x:v>Parsed from Tracker.gg MHTML/PDF export; competitive rows only.</x:v>
      </x:c>
      <x:c r="X108" t="n">
        <x:f>IF(L108="Win",1,0)</x:f>
        <x:v>1</x:v>
      </x:c>
      <x:c r="Y108" s="14" t="n">
        <x:f>IF(L108="Loss",1,0)</x:f>
        <x:v>0</x:v>
      </x:c>
      <x:c r="Z108" t="n">
        <x:f>IF(L108="Draw/Unknown",1,0)</x:f>
        <x:v>0</x:v>
      </x:c>
      <x:c r="AA108" s="16" t="str">
        <x:f>IF(OR(N108="",O108=""),"",N108-O108)</x:f>
      </x:c>
      <x:c r="AB108" s="16" t="n">
        <x:f>IF(T108=0,S108+U108,(S108+U108)/T108)</x:f>
        <x:v>1.8888888888888888</x:v>
      </x:c>
      <x:c r="AC108" t="n">
        <x:f>S108+U108</x:f>
        <x:v>17</x:v>
      </x:c>
      <x:c r="AD108" t="n">
        <x:f>IF(T108=0,1,0)</x:f>
        <x:v>0</x:v>
      </x:c>
      <x:c r="AE108" t="str">
        <x:f>IF(R108&gt;0,"Gain",IF(R108&lt;0,"Loss","Neutral"))</x:f>
        <x:v>Gain</x:v>
      </x:c>
    </x:row>
    <x:row r="109">
      <x:c r="A109" t="n">
        <x:v>108</x:v>
      </x:c>
      <x:c r="B109" s="12" t="n">
        <x:v>46165</x:v>
      </x:c>
      <x:c r="C109" t="str">
        <x:v>May 23</x:v>
      </x:c>
      <x:c r="D109" t="n">
        <x:v>39</x:v>
      </x:c>
      <x:c r="E109" t="n">
        <x:v>20</x:v>
      </x:c>
      <x:c r="F109" s="14" t="n">
        <x:v>19</x:v>
      </x:c>
      <x:c r="G109" t="str">
        <x:v>1w ago</x:v>
      </x:c>
      <x:c r="H109" t="str">
        <x:v>Competitive</x:v>
      </x:c>
      <x:c r="I109" t="str">
        <x:v>Convoy</x:v>
      </x:c>
      <x:c r="J109" t="str">
        <x:v>Museum of Contemplation</x:v>
      </x:c>
      <x:c r="K109" t="str">
        <x:v>Captain America</x:v>
      </x:c>
      <x:c r="L109" t="str">
        <x:v>Loss</x:v>
      </x:c>
      <x:c r="M109" t="str">
        <x:v>SVP</x:v>
      </x:c>
      <x:c r="N109" t="n">
        <x:v>0</x:v>
      </x:c>
      <x:c r="O109" t="n">
        <x:v>1</x:v>
      </x:c>
      <x:c r="P109" t="str">
        <x:v>Diamond I</x:v>
      </x:c>
      <x:c r="Q109" t="n">
        <x:v>4453</x:v>
      </x:c>
      <x:c r="R109" s="14" t="n">
        <x:v>-14</x:v>
      </x:c>
      <x:c r="S109" t="n">
        <x:v>6</x:v>
      </x:c>
      <x:c r="T109" t="n">
        <x:v>9</x:v>
      </x:c>
      <x:c r="U109" t="n">
        <x:v>0</x:v>
      </x:c>
      <x:c r="V109" s="16" t="n">
        <x:v>0.67</x:v>
      </x:c>
      <x:c r="W109" t="str">
        <x:v>Parsed from Tracker.gg MHTML/PDF export; competitive rows only.</x:v>
      </x:c>
      <x:c r="X109" t="n">
        <x:f>IF(L109="Win",1,0)</x:f>
        <x:v>0</x:v>
      </x:c>
      <x:c r="Y109" s="14" t="n">
        <x:f>IF(L109="Loss",1,0)</x:f>
        <x:v>1</x:v>
      </x:c>
      <x:c r="Z109" t="n">
        <x:f>IF(L109="Draw/Unknown",1,0)</x:f>
        <x:v>0</x:v>
      </x:c>
      <x:c r="AA109" s="16" t="str">
        <x:f>IF(OR(N109="",O109=""),"",N109-O109)</x:f>
      </x:c>
      <x:c r="AB109" s="16" t="n">
        <x:f>IF(T109=0,S109+U109,(S109+U109)/T109)</x:f>
        <x:v>0.6666666666666666</x:v>
      </x:c>
      <x:c r="AC109" t="n">
        <x:f>S109+U109</x:f>
        <x:v>6</x:v>
      </x:c>
      <x:c r="AD109" t="n">
        <x:f>IF(T109=0,1,0)</x:f>
        <x:v>0</x:v>
      </x:c>
      <x:c r="AE109" t="str">
        <x:f>IF(R109&gt;0,"Gain",IF(R109&lt;0,"Loss","Neutral"))</x:f>
        <x:v>Loss</x:v>
      </x:c>
    </x:row>
    <x:row r="110">
      <x:c r="A110" t="n">
        <x:v>109</x:v>
      </x:c>
      <x:c r="B110" s="12" t="n">
        <x:v>46165</x:v>
      </x:c>
      <x:c r="C110" t="str">
        <x:v>May 23</x:v>
      </x:c>
      <x:c r="D110" t="n">
        <x:v>39</x:v>
      </x:c>
      <x:c r="E110" t="n">
        <x:v>20</x:v>
      </x:c>
      <x:c r="F110" s="14" t="n">
        <x:v>19</x:v>
      </x:c>
      <x:c r="G110" t="str">
        <x:v>1w ago</x:v>
      </x:c>
      <x:c r="H110" t="str">
        <x:v>Competitive</x:v>
      </x:c>
      <x:c r="I110" t="str">
        <x:v>Convergence</x:v>
      </x:c>
      <x:c r="J110" t="str">
        <x:v>Unknown / not captured</x:v>
      </x:c>
      <x:c r="K110" t="str">
        <x:v>The Thing</x:v>
      </x:c>
      <x:c r="L110" t="str">
        <x:v>Loss</x:v>
      </x:c>
      <x:c r="M110" t="str"/>
      <x:c r="N110" t="n">
        <x:v>3</x:v>
      </x:c>
      <x:c r="O110" t="n">
        <x:v>0</x:v>
      </x:c>
      <x:c r="P110" t="str">
        <x:v>Diamond I</x:v>
      </x:c>
      <x:c r="Q110" t="n">
        <x:v>4466</x:v>
      </x:c>
      <x:c r="R110" s="14" t="n">
        <x:v>-19</x:v>
      </x:c>
      <x:c r="S110" t="n">
        <x:v>14</x:v>
      </x:c>
      <x:c r="T110" t="n">
        <x:v>15</x:v>
      </x:c>
      <x:c r="U110" t="n">
        <x:v>6</x:v>
      </x:c>
      <x:c r="V110" s="16" t="n">
        <x:v>1.33</x:v>
      </x:c>
      <x:c r="W110" t="str">
        <x:v>Parsed from Tracker.gg MHTML/PDF export; competitive rows only.</x:v>
      </x:c>
      <x:c r="X110" t="n">
        <x:f>IF(L110="Win",1,0)</x:f>
        <x:v>0</x:v>
      </x:c>
      <x:c r="Y110" s="14" t="n">
        <x:f>IF(L110="Loss",1,0)</x:f>
        <x:v>1</x:v>
      </x:c>
      <x:c r="Z110" t="n">
        <x:f>IF(L110="Draw/Unknown",1,0)</x:f>
        <x:v>0</x:v>
      </x:c>
      <x:c r="AA110" s="16" t="str">
        <x:f>IF(OR(N110="",O110=""),"",N110-O110)</x:f>
      </x:c>
      <x:c r="AB110" s="16" t="n">
        <x:f>IF(T110=0,S110+U110,(S110+U110)/T110)</x:f>
        <x:v>1.3333333333333333</x:v>
      </x:c>
      <x:c r="AC110" t="n">
        <x:f>S110+U110</x:f>
        <x:v>20</x:v>
      </x:c>
      <x:c r="AD110" t="n">
        <x:f>IF(T110=0,1,0)</x:f>
        <x:v>0</x:v>
      </x:c>
      <x:c r="AE110" t="str">
        <x:f>IF(R110&gt;0,"Gain",IF(R110&lt;0,"Loss","Neutral"))</x:f>
        <x:v>Loss</x:v>
      </x:c>
    </x:row>
    <x:row r="111">
      <x:c r="A111" t="n">
        <x:v>110</x:v>
      </x:c>
      <x:c r="B111" s="12" t="n">
        <x:v>46165</x:v>
      </x:c>
      <x:c r="C111" t="str">
        <x:v>May 23</x:v>
      </x:c>
      <x:c r="D111" t="n">
        <x:v>39</x:v>
      </x:c>
      <x:c r="E111" t="n">
        <x:v>20</x:v>
      </x:c>
      <x:c r="F111" s="14" t="n">
        <x:v>19</x:v>
      </x:c>
      <x:c r="G111" t="str">
        <x:v>1w ago</x:v>
      </x:c>
      <x:c r="H111" t="str">
        <x:v>Competitive</x:v>
      </x:c>
      <x:c r="I111" t="str">
        <x:v>Convergence</x:v>
      </x:c>
      <x:c r="J111" t="str">
        <x:v>Central Park</x:v>
      </x:c>
      <x:c r="K111" t="str">
        <x:v>Groot</x:v>
      </x:c>
      <x:c r="L111" t="str">
        <x:v>Win</x:v>
      </x:c>
      <x:c r="M111" t="str"/>
      <x:c r="N111" t="n">
        <x:v>2</x:v>
      </x:c>
      <x:c r="O111" t="n">
        <x:v>3</x:v>
      </x:c>
      <x:c r="P111" t="str">
        <x:v>Diamond I</x:v>
      </x:c>
      <x:c r="Q111" t="n">
        <x:v>4485</x:v>
      </x:c>
      <x:c r="R111" s="14" t="n">
        <x:v>22</x:v>
      </x:c>
      <x:c r="S111" t="n">
        <x:v>30</x:v>
      </x:c>
      <x:c r="T111" t="n">
        <x:v>15</x:v>
      </x:c>
      <x:c r="U111" t="n">
        <x:v>4</x:v>
      </x:c>
      <x:c r="V111" s="16" t="n">
        <x:v>2.27</x:v>
      </x:c>
      <x:c r="W111" t="str">
        <x:v>Parsed from Tracker.gg MHTML/PDF export; competitive rows only.</x:v>
      </x:c>
      <x:c r="X111" t="n">
        <x:f>IF(L111="Win",1,0)</x:f>
        <x:v>1</x:v>
      </x:c>
      <x:c r="Y111" s="14" t="n">
        <x:f>IF(L111="Loss",1,0)</x:f>
        <x:v>0</x:v>
      </x:c>
      <x:c r="Z111" t="n">
        <x:f>IF(L111="Draw/Unknown",1,0)</x:f>
        <x:v>0</x:v>
      </x:c>
      <x:c r="AA111" s="16" t="n">
        <x:f>IF(OR(N111="",O111=""),"",N111-O111)</x:f>
        <x:v>-1</x:v>
      </x:c>
      <x:c r="AB111" s="16" t="n">
        <x:f>IF(T111=0,S111+U111,(S111+U111)/T111)</x:f>
        <x:v>2.2666666666666666</x:v>
      </x:c>
      <x:c r="AC111" t="n">
        <x:f>S111+U111</x:f>
        <x:v>34</x:v>
      </x:c>
      <x:c r="AD111" t="n">
        <x:f>IF(T111=0,1,0)</x:f>
        <x:v>0</x:v>
      </x:c>
      <x:c r="AE111" t="str">
        <x:f>IF(R111&gt;0,"Gain",IF(R111&lt;0,"Loss","Neutral"))</x:f>
        <x:v>Gain</x:v>
      </x:c>
    </x:row>
    <x:row r="112">
      <x:c r="A112" t="n">
        <x:v>111</x:v>
      </x:c>
      <x:c r="B112" s="12" t="n">
        <x:v>46165</x:v>
      </x:c>
      <x:c r="C112" t="str">
        <x:v>May 23</x:v>
      </x:c>
      <x:c r="D112" t="n">
        <x:v>39</x:v>
      </x:c>
      <x:c r="E112" t="n">
        <x:v>20</x:v>
      </x:c>
      <x:c r="F112" s="14" t="n">
        <x:v>19</x:v>
      </x:c>
      <x:c r="G112" t="str">
        <x:v>1w ago</x:v>
      </x:c>
      <x:c r="H112" t="str">
        <x:v>Competitive</x:v>
      </x:c>
      <x:c r="I112" t="str">
        <x:v>Convoy</x:v>
      </x:c>
      <x:c r="J112" t="str">
        <x:v>Spider-Islands</x:v>
      </x:c>
      <x:c r="K112" t="str">
        <x:v>Peni Parker</x:v>
      </x:c>
      <x:c r="L112" t="str">
        <x:v>Win</x:v>
      </x:c>
      <x:c r="M112" t="str"/>
      <x:c r="N112" t="n">
        <x:v>0</x:v>
      </x:c>
      <x:c r="O112" t="n">
        <x:v>1</x:v>
      </x:c>
      <x:c r="P112" t="str">
        <x:v>Diamond I</x:v>
      </x:c>
      <x:c r="Q112" t="n">
        <x:v>4462</x:v>
      </x:c>
      <x:c r="R112" s="14" t="n">
        <x:v>25</x:v>
      </x:c>
      <x:c r="S112" t="n">
        <x:v>22</x:v>
      </x:c>
      <x:c r="T112" t="n">
        <x:v>7</x:v>
      </x:c>
      <x:c r="U112" t="n">
        <x:v>14</x:v>
      </x:c>
      <x:c r="V112" s="16" t="n">
        <x:v>5.14</x:v>
      </x:c>
      <x:c r="W112" t="str">
        <x:v>Parsed from Tracker.gg MHTML/PDF export; competitive rows only.</x:v>
      </x:c>
      <x:c r="X112" t="n">
        <x:f>IF(L112="Win",1,0)</x:f>
        <x:v>1</x:v>
      </x:c>
      <x:c r="Y112" s="14" t="n">
        <x:f>IF(L112="Loss",1,0)</x:f>
        <x:v>0</x:v>
      </x:c>
      <x:c r="Z112" t="n">
        <x:f>IF(L112="Draw/Unknown",1,0)</x:f>
        <x:v>0</x:v>
      </x:c>
      <x:c r="AA112" s="16" t="str">
        <x:f>IF(OR(N112="",O112=""),"",N112-O112)</x:f>
      </x:c>
      <x:c r="AB112" s="16" t="n">
        <x:f>IF(T112=0,S112+U112,(S112+U112)/T112)</x:f>
        <x:v>5.142857142857143</x:v>
      </x:c>
      <x:c r="AC112" t="n">
        <x:f>S112+U112</x:f>
        <x:v>36</x:v>
      </x:c>
      <x:c r="AD112" t="n">
        <x:f>IF(T112=0,1,0)</x:f>
        <x:v>0</x:v>
      </x:c>
      <x:c r="AE112" t="str">
        <x:f>IF(R112&gt;0,"Gain",IF(R112&lt;0,"Loss","Neutral"))</x:f>
        <x:v>Gain</x:v>
      </x:c>
    </x:row>
    <x:row r="113">
      <x:c r="A113" t="n">
        <x:v>112</x:v>
      </x:c>
      <x:c r="B113" s="12" t="n">
        <x:v>46165</x:v>
      </x:c>
      <x:c r="C113" t="str">
        <x:v>May 23</x:v>
      </x:c>
      <x:c r="D113" t="n">
        <x:v>39</x:v>
      </x:c>
      <x:c r="E113" t="n">
        <x:v>20</x:v>
      </x:c>
      <x:c r="F113" s="14" t="n">
        <x:v>19</x:v>
      </x:c>
      <x:c r="G113" t="str">
        <x:v>1w ago</x:v>
      </x:c>
      <x:c r="H113" t="str">
        <x:v>Competitive</x:v>
      </x:c>
      <x:c r="I113" t="str">
        <x:v>Convergence</x:v>
      </x:c>
      <x:c r="J113" t="str">
        <x:v>Symbiotic Surface</x:v>
      </x:c>
      <x:c r="K113" t="str">
        <x:v>Peni Parker</x:v>
      </x:c>
      <x:c r="L113" t="str">
        <x:v>Win</x:v>
      </x:c>
      <x:c r="M113" t="str"/>
      <x:c r="N113" t="n">
        <x:v>0</x:v>
      </x:c>
      <x:c r="O113" t="n">
        <x:v>1</x:v>
      </x:c>
      <x:c r="P113" t="str">
        <x:v>Diamond I</x:v>
      </x:c>
      <x:c r="Q113" t="n">
        <x:v>4436</x:v>
      </x:c>
      <x:c r="R113" s="14" t="n">
        <x:v>22</x:v>
      </x:c>
      <x:c r="S113" t="n">
        <x:v>8</x:v>
      </x:c>
      <x:c r="T113" t="n">
        <x:v>3</x:v>
      </x:c>
      <x:c r="U113" t="n">
        <x:v>11</x:v>
      </x:c>
      <x:c r="V113" s="16" t="n">
        <x:v>6.33</x:v>
      </x:c>
      <x:c r="W113" t="str">
        <x:v>Parsed from Tracker.gg MHTML/PDF export; competitive rows only.</x:v>
      </x:c>
      <x:c r="X113" t="n">
        <x:f>IF(L113="Win",1,0)</x:f>
        <x:v>1</x:v>
      </x:c>
      <x:c r="Y113" s="14" t="n">
        <x:f>IF(L113="Loss",1,0)</x:f>
        <x:v>0</x:v>
      </x:c>
      <x:c r="Z113" t="n">
        <x:f>IF(L113="Draw/Unknown",1,0)</x:f>
        <x:v>0</x:v>
      </x:c>
      <x:c r="AA113" s="16" t="str">
        <x:f>IF(OR(N113="",O113=""),"",N113-O113)</x:f>
      </x:c>
      <x:c r="AB113" s="16" t="n">
        <x:f>IF(T113=0,S113+U113,(S113+U113)/T113)</x:f>
        <x:v>6.333333333333333</x:v>
      </x:c>
      <x:c r="AC113" t="n">
        <x:f>S113+U113</x:f>
        <x:v>19</x:v>
      </x:c>
      <x:c r="AD113" t="n">
        <x:f>IF(T113=0,1,0)</x:f>
        <x:v>0</x:v>
      </x:c>
      <x:c r="AE113" t="str">
        <x:f>IF(R113&gt;0,"Gain",IF(R113&lt;0,"Loss","Neutral"))</x:f>
        <x:v>Gain</x:v>
      </x:c>
    </x:row>
    <x:row r="114">
      <x:c r="A114" t="n">
        <x:v>113</x:v>
      </x:c>
      <x:c r="B114" s="12" t="n">
        <x:v>46165</x:v>
      </x:c>
      <x:c r="C114" t="str">
        <x:v>May 23</x:v>
      </x:c>
      <x:c r="D114" t="n">
        <x:v>39</x:v>
      </x:c>
      <x:c r="E114" t="n">
        <x:v>20</x:v>
      </x:c>
      <x:c r="F114" s="14" t="n">
        <x:v>19</x:v>
      </x:c>
      <x:c r="G114" t="str">
        <x:v>1w ago</x:v>
      </x:c>
      <x:c r="H114" t="str">
        <x:v>Competitive</x:v>
      </x:c>
      <x:c r="I114" t="str">
        <x:v>Convoy</x:v>
      </x:c>
      <x:c r="J114" t="str">
        <x:v>Arakko</x:v>
      </x:c>
      <x:c r="K114" t="str">
        <x:v>Peni Parker</x:v>
      </x:c>
      <x:c r="L114" t="str">
        <x:v>Loss</x:v>
      </x:c>
      <x:c r="M114" t="str">
        <x:v>SVP</x:v>
      </x:c>
      <x:c r="N114" t="n">
        <x:v>2</x:v>
      </x:c>
      <x:c r="O114" t="n">
        <x:v>3</x:v>
      </x:c>
      <x:c r="P114" t="str">
        <x:v>Diamond I</x:v>
      </x:c>
      <x:c r="Q114" t="n">
        <x:v>4414</x:v>
      </x:c>
      <x:c r="R114" s="14" t="n">
        <x:v>-17</x:v>
      </x:c>
      <x:c r="S114" t="n">
        <x:v>25</x:v>
      </x:c>
      <x:c r="T114" t="n">
        <x:v>14</x:v>
      </x:c>
      <x:c r="U114" t="n">
        <x:v>11</x:v>
      </x:c>
      <x:c r="V114" s="16" t="n">
        <x:v>2.57</x:v>
      </x:c>
      <x:c r="W114" t="str">
        <x:v>Parsed from Tracker.gg MHTML/PDF export; competitive rows only.</x:v>
      </x:c>
      <x:c r="X114" t="n">
        <x:f>IF(L114="Win",1,0)</x:f>
        <x:v>0</x:v>
      </x:c>
      <x:c r="Y114" s="14" t="n">
        <x:f>IF(L114="Loss",1,0)</x:f>
        <x:v>1</x:v>
      </x:c>
      <x:c r="Z114" t="n">
        <x:f>IF(L114="Draw/Unknown",1,0)</x:f>
        <x:v>0</x:v>
      </x:c>
      <x:c r="AA114" s="16" t="n">
        <x:f>IF(OR(N114="",O114=""),"",N114-O114)</x:f>
        <x:v>-1</x:v>
      </x:c>
      <x:c r="AB114" s="16" t="n">
        <x:f>IF(T114=0,S114+U114,(S114+U114)/T114)</x:f>
        <x:v>2.5714285714285716</x:v>
      </x:c>
      <x:c r="AC114" t="n">
        <x:f>S114+U114</x:f>
        <x:v>36</x:v>
      </x:c>
      <x:c r="AD114" t="n">
        <x:f>IF(T114=0,1,0)</x:f>
        <x:v>0</x:v>
      </x:c>
      <x:c r="AE114" t="str">
        <x:f>IF(R114&gt;0,"Gain",IF(R114&lt;0,"Loss","Neutral"))</x:f>
        <x:v>Loss</x:v>
      </x:c>
    </x:row>
    <x:row r="115">
      <x:c r="A115" t="n">
        <x:v>114</x:v>
      </x:c>
      <x:c r="B115" s="12" t="n">
        <x:v>46165</x:v>
      </x:c>
      <x:c r="C115" t="str">
        <x:v>May 23</x:v>
      </x:c>
      <x:c r="D115" t="n">
        <x:v>39</x:v>
      </x:c>
      <x:c r="E115" t="n">
        <x:v>20</x:v>
      </x:c>
      <x:c r="F115" s="14" t="n">
        <x:v>19</x:v>
      </x:c>
      <x:c r="G115" t="str">
        <x:v>1w ago</x:v>
      </x:c>
      <x:c r="H115" t="str">
        <x:v>Competitive</x:v>
      </x:c>
      <x:c r="I115" t="str">
        <x:v>Convergence</x:v>
      </x:c>
      <x:c r="J115" t="str">
        <x:v>Heart Of Heaven</x:v>
      </x:c>
      <x:c r="K115" t="str">
        <x:v>Peni Parker</x:v>
      </x:c>
      <x:c r="L115" t="str">
        <x:v>Loss</x:v>
      </x:c>
      <x:c r="M115" t="str"/>
      <x:c r="N115" t="n">
        <x:v>2</x:v>
      </x:c>
      <x:c r="O115" t="n">
        <x:v>3</x:v>
      </x:c>
      <x:c r="P115" t="str">
        <x:v>Diamond I</x:v>
      </x:c>
      <x:c r="Q115" t="n">
        <x:v>4431</x:v>
      </x:c>
      <x:c r="R115" s="14" t="n">
        <x:v>-22</x:v>
      </x:c>
      <x:c r="S115" t="n">
        <x:v>14</x:v>
      </x:c>
      <x:c r="T115" t="n">
        <x:v>13</x:v>
      </x:c>
      <x:c r="U115" t="n">
        <x:v>7</x:v>
      </x:c>
      <x:c r="V115" s="16" t="n">
        <x:v>1.62</x:v>
      </x:c>
      <x:c r="W115" t="str">
        <x:v>Parsed from Tracker.gg MHTML/PDF export; competitive rows only.</x:v>
      </x:c>
      <x:c r="X115" t="n">
        <x:f>IF(L115="Win",1,0)</x:f>
        <x:v>0</x:v>
      </x:c>
      <x:c r="Y115" s="14" t="n">
        <x:f>IF(L115="Loss",1,0)</x:f>
        <x:v>1</x:v>
      </x:c>
      <x:c r="Z115" t="n">
        <x:f>IF(L115="Draw/Unknown",1,0)</x:f>
        <x:v>0</x:v>
      </x:c>
      <x:c r="AA115" s="16" t="n">
        <x:f>IF(OR(N115="",O115=""),"",N115-O115)</x:f>
        <x:v>-1</x:v>
      </x:c>
      <x:c r="AB115" s="16" t="n">
        <x:f>IF(T115=0,S115+U115,(S115+U115)/T115)</x:f>
        <x:v>1.6153846153846154</x:v>
      </x:c>
      <x:c r="AC115" t="n">
        <x:f>S115+U115</x:f>
        <x:v>21</x:v>
      </x:c>
      <x:c r="AD115" t="n">
        <x:f>IF(T115=0,1,0)</x:f>
        <x:v>0</x:v>
      </x:c>
      <x:c r="AE115" t="str">
        <x:f>IF(R115&gt;0,"Gain",IF(R115&lt;0,"Loss","Neutral"))</x:f>
        <x:v>Loss</x:v>
      </x:c>
    </x:row>
    <x:row r="116">
      <x:c r="A116" t="n">
        <x:v>115</x:v>
      </x:c>
      <x:c r="B116" s="12" t="n">
        <x:v>46165</x:v>
      </x:c>
      <x:c r="C116" t="str">
        <x:v>May 23</x:v>
      </x:c>
      <x:c r="D116" t="n">
        <x:v>39</x:v>
      </x:c>
      <x:c r="E116" t="n">
        <x:v>20</x:v>
      </x:c>
      <x:c r="F116" s="14" t="n">
        <x:v>19</x:v>
      </x:c>
      <x:c r="G116" t="str">
        <x:v>1w ago</x:v>
      </x:c>
      <x:c r="H116" t="str">
        <x:v>Competitive</x:v>
      </x:c>
      <x:c r="I116" t="str">
        <x:v>Domination</x:v>
      </x:c>
      <x:c r="J116" t="str">
        <x:v>Birnin T'Challa</x:v>
      </x:c>
      <x:c r="K116" t="str">
        <x:v>Peni Parker</x:v>
      </x:c>
      <x:c r="L116" t="str">
        <x:v>Win</x:v>
      </x:c>
      <x:c r="M116" t="str"/>
      <x:c r="N116" t="n">
        <x:v>1</x:v>
      </x:c>
      <x:c r="O116" t="n">
        <x:v>2</x:v>
      </x:c>
      <x:c r="P116" t="str">
        <x:v>Diamond I</x:v>
      </x:c>
      <x:c r="Q116" t="n">
        <x:v>4452</x:v>
      </x:c>
      <x:c r="R116" s="14" t="n">
        <x:v>24</x:v>
      </x:c>
      <x:c r="S116" t="n">
        <x:v>19</x:v>
      </x:c>
      <x:c r="T116" t="n">
        <x:v>4</x:v>
      </x:c>
      <x:c r="U116" t="n">
        <x:v>14</x:v>
      </x:c>
      <x:c r="V116" s="16" t="n">
        <x:v>8.25</x:v>
      </x:c>
      <x:c r="W116" t="str">
        <x:v>Parsed from Tracker.gg MHTML/PDF export; competitive rows only.</x:v>
      </x:c>
      <x:c r="X116" t="n">
        <x:f>IF(L116="Win",1,0)</x:f>
        <x:v>1</x:v>
      </x:c>
      <x:c r="Y116" s="14" t="n">
        <x:f>IF(L116="Loss",1,0)</x:f>
        <x:v>0</x:v>
      </x:c>
      <x:c r="Z116" t="n">
        <x:f>IF(L116="Draw/Unknown",1,0)</x:f>
        <x:v>0</x:v>
      </x:c>
      <x:c r="AA116" s="16" t="n">
        <x:f>IF(OR(N116="",O116=""),"",N116-O116)</x:f>
        <x:v>-1</x:v>
      </x:c>
      <x:c r="AB116" s="16" t="n">
        <x:f>IF(T116=0,S116+U116,(S116+U116)/T116)</x:f>
        <x:v>8.25</x:v>
      </x:c>
      <x:c r="AC116" t="n">
        <x:f>S116+U116</x:f>
        <x:v>33</x:v>
      </x:c>
      <x:c r="AD116" t="n">
        <x:f>IF(T116=0,1,0)</x:f>
        <x:v>0</x:v>
      </x:c>
      <x:c r="AE116" t="str">
        <x:f>IF(R116&gt;0,"Gain",IF(R116&lt;0,"Loss","Neutral"))</x:f>
        <x:v>Gain</x:v>
      </x:c>
    </x:row>
    <x:row r="117">
      <x:c r="A117" t="n">
        <x:v>116</x:v>
      </x:c>
      <x:c r="B117" s="12" t="n">
        <x:v>46165</x:v>
      </x:c>
      <x:c r="C117" t="str">
        <x:v>May 23</x:v>
      </x:c>
      <x:c r="D117" t="n">
        <x:v>39</x:v>
      </x:c>
      <x:c r="E117" t="n">
        <x:v>20</x:v>
      </x:c>
      <x:c r="F117" s="14" t="n">
        <x:v>19</x:v>
      </x:c>
      <x:c r="G117" t="str">
        <x:v>1w ago</x:v>
      </x:c>
      <x:c r="H117" t="str">
        <x:v>Competitive</x:v>
      </x:c>
      <x:c r="I117" t="str">
        <x:v>Convergence</x:v>
      </x:c>
      <x:c r="J117" t="str">
        <x:v>Central Park</x:v>
      </x:c>
      <x:c r="K117" t="str">
        <x:v>The Thing</x:v>
      </x:c>
      <x:c r="L117" t="str">
        <x:v>Loss</x:v>
      </x:c>
      <x:c r="M117" t="str"/>
      <x:c r="N117" t="n">
        <x:v>0</x:v>
      </x:c>
      <x:c r="O117" t="n">
        <x:v>1</x:v>
      </x:c>
      <x:c r="P117" t="str">
        <x:v>Diamond I</x:v>
      </x:c>
      <x:c r="Q117" t="n">
        <x:v>4427</x:v>
      </x:c>
      <x:c r="R117" s="14" t="n">
        <x:v>-25</x:v>
      </x:c>
      <x:c r="S117" t="n">
        <x:v>5</x:v>
      </x:c>
      <x:c r="T117" t="n">
        <x:v>8</x:v>
      </x:c>
      <x:c r="U117" t="n">
        <x:v>0</x:v>
      </x:c>
      <x:c r="V117" s="16" t="n">
        <x:v>0.62</x:v>
      </x:c>
      <x:c r="W117" t="str">
        <x:v>Parsed from Tracker.gg MHTML/PDF export; competitive rows only.</x:v>
      </x:c>
      <x:c r="X117" t="n">
        <x:f>IF(L117="Win",1,0)</x:f>
        <x:v>0</x:v>
      </x:c>
      <x:c r="Y117" s="14" t="n">
        <x:f>IF(L117="Loss",1,0)</x:f>
        <x:v>1</x:v>
      </x:c>
      <x:c r="Z117" t="n">
        <x:f>IF(L117="Draw/Unknown",1,0)</x:f>
        <x:v>0</x:v>
      </x:c>
      <x:c r="AA117" s="16" t="str">
        <x:f>IF(OR(N117="",O117=""),"",N117-O117)</x:f>
      </x:c>
      <x:c r="AB117" s="16" t="n">
        <x:f>IF(T117=0,S117+U117,(S117+U117)/T117)</x:f>
        <x:v>0.625</x:v>
      </x:c>
      <x:c r="AC117" t="n">
        <x:f>S117+U117</x:f>
        <x:v>5</x:v>
      </x:c>
      <x:c r="AD117" t="n">
        <x:f>IF(T117=0,1,0)</x:f>
        <x:v>0</x:v>
      </x:c>
      <x:c r="AE117" t="str">
        <x:f>IF(R117&gt;0,"Gain",IF(R117&lt;0,"Loss","Neutral"))</x:f>
        <x:v>Loss</x:v>
      </x:c>
    </x:row>
    <x:row r="118">
      <x:c r="A118" t="n">
        <x:v>117</x:v>
      </x:c>
      <x:c r="B118" s="12" t="n">
        <x:v>46164</x:v>
      </x:c>
      <x:c r="C118" t="str">
        <x:v>May 22</x:v>
      </x:c>
      <x:c r="D118" t="n">
        <x:v>3</x:v>
      </x:c>
      <x:c r="E118" t="n">
        <x:v>1</x:v>
      </x:c>
      <x:c r="F118" s="14" t="n">
        <x:v>2</x:v>
      </x:c>
      <x:c r="G118" t="str">
        <x:v>1w ago</x:v>
      </x:c>
      <x:c r="H118" t="str">
        <x:v>Competitive</x:v>
      </x:c>
      <x:c r="I118" t="str">
        <x:v>Domination</x:v>
      </x:c>
      <x:c r="J118" t="str">
        <x:v>Celestial Husk</x:v>
      </x:c>
      <x:c r="K118" t="str">
        <x:v>Namor</x:v>
      </x:c>
      <x:c r="L118" t="str">
        <x:v>Loss</x:v>
      </x:c>
      <x:c r="M118" t="str">
        <x:v>SVP</x:v>
      </x:c>
      <x:c r="N118" t="n">
        <x:v>0</x:v>
      </x:c>
      <x:c r="O118" t="n">
        <x:v>2</x:v>
      </x:c>
      <x:c r="P118" t="str">
        <x:v>Diamond I</x:v>
      </x:c>
      <x:c r="Q118" t="n">
        <x:v>4452</x:v>
      </x:c>
      <x:c r="R118" s="14" t="n">
        <x:v>-19</x:v>
      </x:c>
      <x:c r="S118" t="n">
        <x:v>7</x:v>
      </x:c>
      <x:c r="T118" t="n">
        <x:v>6</x:v>
      </x:c>
      <x:c r="U118" t="n">
        <x:v>0</x:v>
      </x:c>
      <x:c r="V118" s="16" t="n">
        <x:v>1.17</x:v>
      </x:c>
      <x:c r="W118" t="str">
        <x:v>Parsed from Tracker.gg MHTML/PDF export; competitive rows only.</x:v>
      </x:c>
      <x:c r="X118" t="n">
        <x:f>IF(L118="Win",1,0)</x:f>
        <x:v>0</x:v>
      </x:c>
      <x:c r="Y118" s="14" t="n">
        <x:f>IF(L118="Loss",1,0)</x:f>
        <x:v>1</x:v>
      </x:c>
      <x:c r="Z118" t="n">
        <x:f>IF(L118="Draw/Unknown",1,0)</x:f>
        <x:v>0</x:v>
      </x:c>
      <x:c r="AA118" s="16" t="str">
        <x:f>IF(OR(N118="",O118=""),"",N118-O118)</x:f>
      </x:c>
      <x:c r="AB118" s="16" t="n">
        <x:f>IF(T118=0,S118+U118,(S118+U118)/T118)</x:f>
        <x:v>1.1666666666666667</x:v>
      </x:c>
      <x:c r="AC118" t="n">
        <x:f>S118+U118</x:f>
        <x:v>7</x:v>
      </x:c>
      <x:c r="AD118" t="n">
        <x:f>IF(T118=0,1,0)</x:f>
        <x:v>0</x:v>
      </x:c>
      <x:c r="AE118" t="str">
        <x:f>IF(R118&gt;0,"Gain",IF(R118&lt;0,"Loss","Neutral"))</x:f>
        <x:v>Loss</x:v>
      </x:c>
    </x:row>
    <x:row r="119">
      <x:c r="A119" t="n">
        <x:v>118</x:v>
      </x:c>
      <x:c r="B119" s="12" t="n">
        <x:v>46164</x:v>
      </x:c>
      <x:c r="C119" t="str">
        <x:v>May 22</x:v>
      </x:c>
      <x:c r="D119" t="n">
        <x:v>3</x:v>
      </x:c>
      <x:c r="E119" t="n">
        <x:v>1</x:v>
      </x:c>
      <x:c r="F119" s="14" t="n">
        <x:v>2</x:v>
      </x:c>
      <x:c r="G119" t="str">
        <x:v>1w ago</x:v>
      </x:c>
      <x:c r="H119" t="str">
        <x:v>Competitive</x:v>
      </x:c>
      <x:c r="I119" t="str">
        <x:v>Convergence</x:v>
      </x:c>
      <x:c r="J119" t="str">
        <x:v>Hall Of Djalia</x:v>
      </x:c>
      <x:c r="K119" t="str">
        <x:v>The Thing</x:v>
      </x:c>
      <x:c r="L119" t="str">
        <x:v>Win</x:v>
      </x:c>
      <x:c r="M119" t="str"/>
      <x:c r="N119" t="n">
        <x:v>2</x:v>
      </x:c>
      <x:c r="O119" t="n">
        <x:v>1</x:v>
      </x:c>
      <x:c r="P119" t="str">
        <x:v>Diamond I</x:v>
      </x:c>
      <x:c r="Q119" t="n">
        <x:v>4470</x:v>
      </x:c>
      <x:c r="R119" s="14" t="n">
        <x:v>26</x:v>
      </x:c>
      <x:c r="S119" t="n">
        <x:v>24</x:v>
      </x:c>
      <x:c r="T119" t="n">
        <x:v>10</x:v>
      </x:c>
      <x:c r="U119" t="n">
        <x:v>4</x:v>
      </x:c>
      <x:c r="V119" s="16" t="n">
        <x:v>2.8</x:v>
      </x:c>
      <x:c r="W119" t="str">
        <x:v>Parsed from Tracker.gg MHTML/PDF export; competitive rows only.</x:v>
      </x:c>
      <x:c r="X119" t="n">
        <x:f>IF(L119="Win",1,0)</x:f>
        <x:v>1</x:v>
      </x:c>
      <x:c r="Y119" s="14" t="n">
        <x:f>IF(L119="Loss",1,0)</x:f>
        <x:v>0</x:v>
      </x:c>
      <x:c r="Z119" t="n">
        <x:f>IF(L119="Draw/Unknown",1,0)</x:f>
        <x:v>0</x:v>
      </x:c>
      <x:c r="AA119" s="16" t="n">
        <x:f>IF(OR(N119="",O119=""),"",N119-O119)</x:f>
        <x:v>1</x:v>
      </x:c>
      <x:c r="AB119" s="16" t="n">
        <x:f>IF(T119=0,S119+U119,(S119+U119)/T119)</x:f>
        <x:v>2.8</x:v>
      </x:c>
      <x:c r="AC119" t="n">
        <x:f>S119+U119</x:f>
        <x:v>28</x:v>
      </x:c>
      <x:c r="AD119" t="n">
        <x:f>IF(T119=0,1,0)</x:f>
        <x:v>0</x:v>
      </x:c>
      <x:c r="AE119" t="str">
        <x:f>IF(R119&gt;0,"Gain",IF(R119&lt;0,"Loss","Neutral"))</x:f>
        <x:v>Gain</x:v>
      </x:c>
    </x:row>
    <x:row r="120">
      <x:c r="A120" t="n">
        <x:v>119</x:v>
      </x:c>
      <x:c r="B120" s="12" t="n">
        <x:v>46164</x:v>
      </x:c>
      <x:c r="C120" t="str">
        <x:v>May 22</x:v>
      </x:c>
      <x:c r="D120" t="n">
        <x:v>3</x:v>
      </x:c>
      <x:c r="E120" t="n">
        <x:v>1</x:v>
      </x:c>
      <x:c r="F120" s="14" t="n">
        <x:v>2</x:v>
      </x:c>
      <x:c r="G120" t="str">
        <x:v>1w ago</x:v>
      </x:c>
      <x:c r="H120" t="str">
        <x:v>Competitive</x:v>
      </x:c>
      <x:c r="I120" t="str">
        <x:v>Domination</x:v>
      </x:c>
      <x:c r="J120" t="str">
        <x:v>Krakoa</x:v>
      </x:c>
      <x:c r="K120" t="str">
        <x:v>Devil Dinosaur</x:v>
      </x:c>
      <x:c r="L120" t="str">
        <x:v>Loss</x:v>
      </x:c>
      <x:c r="M120" t="str"/>
      <x:c r="N120" t="n">
        <x:v>0</x:v>
      </x:c>
      <x:c r="O120" t="n">
        <x:v>2</x:v>
      </x:c>
      <x:c r="P120" t="str">
        <x:v>Diamond I</x:v>
      </x:c>
      <x:c r="Q120" t="n">
        <x:v>4444</x:v>
      </x:c>
      <x:c r="R120" s="14" t="n">
        <x:v>-24</x:v>
      </x:c>
      <x:c r="S120" t="n">
        <x:v>9</x:v>
      </x:c>
      <x:c r="T120" t="n">
        <x:v>10</x:v>
      </x:c>
      <x:c r="U120" t="n">
        <x:v>6</x:v>
      </x:c>
      <x:c r="V120" s="16" t="n">
        <x:v>1.5</x:v>
      </x:c>
      <x:c r="W120" t="str">
        <x:v>Parsed from Tracker.gg MHTML/PDF export; competitive rows only.</x:v>
      </x:c>
      <x:c r="X120" t="n">
        <x:f>IF(L120="Win",1,0)</x:f>
        <x:v>0</x:v>
      </x:c>
      <x:c r="Y120" s="14" t="n">
        <x:f>IF(L120="Loss",1,0)</x:f>
        <x:v>1</x:v>
      </x:c>
      <x:c r="Z120" t="n">
        <x:f>IF(L120="Draw/Unknown",1,0)</x:f>
        <x:v>0</x:v>
      </x:c>
      <x:c r="AA120" s="16" t="str">
        <x:f>IF(OR(N120="",O120=""),"",N120-O120)</x:f>
      </x:c>
      <x:c r="AB120" s="16" t="n">
        <x:f>IF(T120=0,S120+U120,(S120+U120)/T120)</x:f>
        <x:v>1.5</x:v>
      </x:c>
      <x:c r="AC120" t="n">
        <x:f>S120+U120</x:f>
        <x:v>15</x:v>
      </x:c>
      <x:c r="AD120" t="n">
        <x:f>IF(T120=0,1,0)</x:f>
        <x:v>0</x:v>
      </x:c>
      <x:c r="AE120" t="str">
        <x:f>IF(R120&gt;0,"Gain",IF(R120&lt;0,"Loss","Neutral"))</x:f>
        <x:v>Loss</x:v>
      </x:c>
    </x:row>
    <x:row r="121">
      <x:c r="A121" t="n">
        <x:v>120</x:v>
      </x:c>
      <x:c r="B121" s="12" t="n">
        <x:v>46163</x:v>
      </x:c>
      <x:c r="C121" t="str">
        <x:v>May 21</x:v>
      </x:c>
      <x:c r="D121" t="n">
        <x:v>7</x:v>
      </x:c>
      <x:c r="E121" t="n">
        <x:v>3</x:v>
      </x:c>
      <x:c r="F121" s="14" t="n">
        <x:v>4</x:v>
      </x:c>
      <x:c r="G121" t="str">
        <x:v>1w ago</x:v>
      </x:c>
      <x:c r="H121" t="str">
        <x:v>Competitive</x:v>
      </x:c>
      <x:c r="I121" t="str">
        <x:v>Domination</x:v>
      </x:c>
      <x:c r="J121" t="str">
        <x:v>Hell's Heaven</x:v>
      </x:c>
      <x:c r="K121" t="str">
        <x:v>Peni Parker</x:v>
      </x:c>
      <x:c r="L121" t="str">
        <x:v>Win</x:v>
      </x:c>
      <x:c r="M121" t="str"/>
      <x:c r="N121" t="n">
        <x:v>2</x:v>
      </x:c>
      <x:c r="O121" t="n">
        <x:v>1</x:v>
      </x:c>
      <x:c r="P121" t="str">
        <x:v>Diamond I</x:v>
      </x:c>
      <x:c r="Q121" t="n">
        <x:v>4467</x:v>
      </x:c>
      <x:c r="R121" s="14" t="n">
        <x:v>25</x:v>
      </x:c>
      <x:c r="S121" t="n">
        <x:v>24</x:v>
      </x:c>
      <x:c r="T121" t="n">
        <x:v>10</x:v>
      </x:c>
      <x:c r="U121" t="n">
        <x:v>18</x:v>
      </x:c>
      <x:c r="V121" s="16" t="n">
        <x:v>4.2</x:v>
      </x:c>
      <x:c r="W121" t="str">
        <x:v>Parsed from Tracker.gg MHTML/PDF export; competitive rows only.</x:v>
      </x:c>
      <x:c r="X121" t="n">
        <x:f>IF(L121="Win",1,0)</x:f>
        <x:v>1</x:v>
      </x:c>
      <x:c r="Y121" s="14" t="n">
        <x:f>IF(L121="Loss",1,0)</x:f>
        <x:v>0</x:v>
      </x:c>
      <x:c r="Z121" t="n">
        <x:f>IF(L121="Draw/Unknown",1,0)</x:f>
        <x:v>0</x:v>
      </x:c>
      <x:c r="AA121" s="16" t="n">
        <x:f>IF(OR(N121="",O121=""),"",N121-O121)</x:f>
        <x:v>1</x:v>
      </x:c>
      <x:c r="AB121" s="16" t="n">
        <x:f>IF(T121=0,S121+U121,(S121+U121)/T121)</x:f>
        <x:v>4.2</x:v>
      </x:c>
      <x:c r="AC121" t="n">
        <x:f>S121+U121</x:f>
        <x:v>42</x:v>
      </x:c>
      <x:c r="AD121" t="n">
        <x:f>IF(T121=0,1,0)</x:f>
        <x:v>0</x:v>
      </x:c>
      <x:c r="AE121" t="str">
        <x:f>IF(R121&gt;0,"Gain",IF(R121&lt;0,"Loss","Neutral"))</x:f>
        <x:v>Gain</x:v>
      </x:c>
    </x:row>
    <x:row r="122">
      <x:c r="A122" t="n">
        <x:v>121</x:v>
      </x:c>
      <x:c r="B122" s="12" t="n">
        <x:v>46163</x:v>
      </x:c>
      <x:c r="C122" t="str">
        <x:v>May 21</x:v>
      </x:c>
      <x:c r="D122" t="n">
        <x:v>7</x:v>
      </x:c>
      <x:c r="E122" t="n">
        <x:v>3</x:v>
      </x:c>
      <x:c r="F122" s="14" t="n">
        <x:v>4</x:v>
      </x:c>
      <x:c r="G122" t="str">
        <x:v>1w ago</x:v>
      </x:c>
      <x:c r="H122" t="str">
        <x:v>Competitive</x:v>
      </x:c>
      <x:c r="I122" t="str">
        <x:v>Convergence</x:v>
      </x:c>
      <x:c r="J122" t="str">
        <x:v>Symbiotic Surface</x:v>
      </x:c>
      <x:c r="K122" t="str">
        <x:v>The Thing</x:v>
      </x:c>
      <x:c r="L122" t="str">
        <x:v>Win</x:v>
      </x:c>
      <x:c r="M122" t="str"/>
      <x:c r="N122" t="n">
        <x:v>2</x:v>
      </x:c>
      <x:c r="O122" t="n">
        <x:v>3</x:v>
      </x:c>
      <x:c r="P122" t="str">
        <x:v>Diamond I</x:v>
      </x:c>
      <x:c r="Q122" t="n">
        <x:v>4442</x:v>
      </x:c>
      <x:c r="R122" s="14" t="n">
        <x:v>23</x:v>
      </x:c>
      <x:c r="S122" t="n">
        <x:v>22</x:v>
      </x:c>
      <x:c r="T122" t="n">
        <x:v>9</x:v>
      </x:c>
      <x:c r="U122" t="n">
        <x:v>2</x:v>
      </x:c>
      <x:c r="V122" s="16" t="n">
        <x:v>2.67</x:v>
      </x:c>
      <x:c r="W122" t="str">
        <x:v>Parsed from Tracker.gg MHTML/PDF export; competitive rows only.</x:v>
      </x:c>
      <x:c r="X122" t="n">
        <x:f>IF(L122="Win",1,0)</x:f>
        <x:v>1</x:v>
      </x:c>
      <x:c r="Y122" s="14" t="n">
        <x:f>IF(L122="Loss",1,0)</x:f>
        <x:v>0</x:v>
      </x:c>
      <x:c r="Z122" t="n">
        <x:f>IF(L122="Draw/Unknown",1,0)</x:f>
        <x:v>0</x:v>
      </x:c>
      <x:c r="AA122" s="16" t="n">
        <x:f>IF(OR(N122="",O122=""),"",N122-O122)</x:f>
        <x:v>-1</x:v>
      </x:c>
      <x:c r="AB122" s="16" t="n">
        <x:f>IF(T122=0,S122+U122,(S122+U122)/T122)</x:f>
        <x:v>2.6666666666666665</x:v>
      </x:c>
      <x:c r="AC122" t="n">
        <x:f>S122+U122</x:f>
        <x:v>24</x:v>
      </x:c>
      <x:c r="AD122" t="n">
        <x:f>IF(T122=0,1,0)</x:f>
        <x:v>0</x:v>
      </x:c>
      <x:c r="AE122" t="str">
        <x:f>IF(R122&gt;0,"Gain",IF(R122&lt;0,"Loss","Neutral"))</x:f>
        <x:v>Gain</x:v>
      </x:c>
    </x:row>
    <x:row r="123">
      <x:c r="A123" t="n">
        <x:v>122</x:v>
      </x:c>
      <x:c r="B123" s="12" t="n">
        <x:v>46163</x:v>
      </x:c>
      <x:c r="C123" t="str">
        <x:v>May 21</x:v>
      </x:c>
      <x:c r="D123" t="n">
        <x:v>7</x:v>
      </x:c>
      <x:c r="E123" t="n">
        <x:v>3</x:v>
      </x:c>
      <x:c r="F123" s="14" t="n">
        <x:v>4</x:v>
      </x:c>
      <x:c r="G123" t="str">
        <x:v>1w ago</x:v>
      </x:c>
      <x:c r="H123" t="str">
        <x:v>Competitive</x:v>
      </x:c>
      <x:c r="I123" t="str">
        <x:v>Convoy</x:v>
      </x:c>
      <x:c r="J123" t="str">
        <x:v>Midtown</x:v>
      </x:c>
      <x:c r="K123" t="str">
        <x:v>Cloak &amp; Dagger</x:v>
      </x:c>
      <x:c r="L123" t="str">
        <x:v>Loss</x:v>
      </x:c>
      <x:c r="M123" t="str"/>
      <x:c r="N123" t="n">
        <x:v>4</x:v>
      </x:c>
      <x:c r="O123" t="n">
        <x:v>5</x:v>
      </x:c>
      <x:c r="P123" t="str">
        <x:v>Diamond I</x:v>
      </x:c>
      <x:c r="Q123" t="n">
        <x:v>4418</x:v>
      </x:c>
      <x:c r="R123" s="14" t="n">
        <x:v>-22</x:v>
      </x:c>
      <x:c r="S123" t="n">
        <x:v>20</x:v>
      </x:c>
      <x:c r="T123" t="n">
        <x:v>17</x:v>
      </x:c>
      <x:c r="U123" t="n">
        <x:v>34</x:v>
      </x:c>
      <x:c r="V123" s="16" t="n">
        <x:v>3.18</x:v>
      </x:c>
      <x:c r="W123" t="str">
        <x:v>Parsed from Tracker.gg MHTML/PDF export; competitive rows only.</x:v>
      </x:c>
      <x:c r="X123" t="n">
        <x:f>IF(L123="Win",1,0)</x:f>
        <x:v>0</x:v>
      </x:c>
      <x:c r="Y123" s="14" t="n">
        <x:f>IF(L123="Loss",1,0)</x:f>
        <x:v>1</x:v>
      </x:c>
      <x:c r="Z123" t="n">
        <x:f>IF(L123="Draw/Unknown",1,0)</x:f>
        <x:v>0</x:v>
      </x:c>
      <x:c r="AA123" s="16" t="n">
        <x:f>IF(OR(N123="",O123=""),"",N123-O123)</x:f>
        <x:v>-1</x:v>
      </x:c>
      <x:c r="AB123" s="16" t="n">
        <x:f>IF(T123=0,S123+U123,(S123+U123)/T123)</x:f>
        <x:v>3.176470588235294</x:v>
      </x:c>
      <x:c r="AC123" t="n">
        <x:f>S123+U123</x:f>
        <x:v>54</x:v>
      </x:c>
      <x:c r="AD123" t="n">
        <x:f>IF(T123=0,1,0)</x:f>
        <x:v>0</x:v>
      </x:c>
      <x:c r="AE123" t="str">
        <x:f>IF(R123&gt;0,"Gain",IF(R123&lt;0,"Loss","Neutral"))</x:f>
        <x:v>Loss</x:v>
      </x:c>
    </x:row>
    <x:row r="124">
      <x:c r="A124" t="n">
        <x:v>123</x:v>
      </x:c>
      <x:c r="B124" s="12" t="n">
        <x:v>46163</x:v>
      </x:c>
      <x:c r="C124" t="str">
        <x:v>May 21</x:v>
      </x:c>
      <x:c r="D124" t="n">
        <x:v>7</x:v>
      </x:c>
      <x:c r="E124" t="n">
        <x:v>3</x:v>
      </x:c>
      <x:c r="F124" s="14" t="n">
        <x:v>4</x:v>
      </x:c>
      <x:c r="G124" t="str">
        <x:v>1w ago</x:v>
      </x:c>
      <x:c r="H124" t="str">
        <x:v>Competitive</x:v>
      </x:c>
      <x:c r="I124" t="str">
        <x:v>Convergence</x:v>
      </x:c>
      <x:c r="J124" t="str">
        <x:v>Central Park</x:v>
      </x:c>
      <x:c r="K124" t="str">
        <x:v>Namor</x:v>
      </x:c>
      <x:c r="L124" t="str">
        <x:v>Win</x:v>
      </x:c>
      <x:c r="M124" t="str"/>
      <x:c r="N124" t="n">
        <x:v>3</x:v>
      </x:c>
      <x:c r="O124" t="n">
        <x:v>4</x:v>
      </x:c>
      <x:c r="P124" t="str">
        <x:v>Diamond I</x:v>
      </x:c>
      <x:c r="Q124" t="n">
        <x:v>4439</x:v>
      </x:c>
      <x:c r="R124" s="14" t="n">
        <x:v>24</x:v>
      </x:c>
      <x:c r="S124" t="n">
        <x:v>30</x:v>
      </x:c>
      <x:c r="T124" t="n">
        <x:v>13</x:v>
      </x:c>
      <x:c r="U124" t="n">
        <x:v>3</x:v>
      </x:c>
      <x:c r="V124" s="16" t="n">
        <x:v>2.54</x:v>
      </x:c>
      <x:c r="W124" t="str">
        <x:v>Parsed from Tracker.gg MHTML/PDF export; competitive rows only.</x:v>
      </x:c>
      <x:c r="X124" t="n">
        <x:f>IF(L124="Win",1,0)</x:f>
        <x:v>1</x:v>
      </x:c>
      <x:c r="Y124" s="14" t="n">
        <x:f>IF(L124="Loss",1,0)</x:f>
        <x:v>0</x:v>
      </x:c>
      <x:c r="Z124" t="n">
        <x:f>IF(L124="Draw/Unknown",1,0)</x:f>
        <x:v>0</x:v>
      </x:c>
      <x:c r="AA124" s="16" t="n">
        <x:f>IF(OR(N124="",O124=""),"",N124-O124)</x:f>
        <x:v>-1</x:v>
      </x:c>
      <x:c r="AB124" s="16" t="n">
        <x:f>IF(T124=0,S124+U124,(S124+U124)/T124)</x:f>
        <x:v>2.5384615384615383</x:v>
      </x:c>
      <x:c r="AC124" t="n">
        <x:f>S124+U124</x:f>
        <x:v>33</x:v>
      </x:c>
      <x:c r="AD124" t="n">
        <x:f>IF(T124=0,1,0)</x:f>
        <x:v>0</x:v>
      </x:c>
      <x:c r="AE124" t="str">
        <x:f>IF(R124&gt;0,"Gain",IF(R124&lt;0,"Loss","Neutral"))</x:f>
        <x:v>Gain</x:v>
      </x:c>
    </x:row>
    <x:row r="125">
      <x:c r="A125" t="n">
        <x:v>124</x:v>
      </x:c>
      <x:c r="B125" s="12" t="n">
        <x:v>46162</x:v>
      </x:c>
      <x:c r="C125" t="str">
        <x:v>May 20</x:v>
      </x:c>
      <x:c r="D125" t="n">
        <x:v>1</x:v>
      </x:c>
      <x:c r="E125" t="n">
        <x:v>1</x:v>
      </x:c>
      <x:c r="F125" s="14" t="n">
        <x:v>0</x:v>
      </x:c>
      <x:c r="G125" t="str">
        <x:v>2w ago</x:v>
      </x:c>
      <x:c r="H125" t="str">
        <x:v>Competitive</x:v>
      </x:c>
      <x:c r="I125" t="str">
        <x:v>Convergence</x:v>
      </x:c>
      <x:c r="J125" t="str">
        <x:v>Unknown / not captured</x:v>
      </x:c>
      <x:c r="K125" t="str">
        <x:v>The Thing</x:v>
      </x:c>
      <x:c r="L125" t="str">
        <x:v>Win</x:v>
      </x:c>
      <x:c r="M125" t="str"/>
      <x:c r="N125" t="n">
        <x:v>1</x:v>
      </x:c>
      <x:c r="O125" t="n">
        <x:v>2</x:v>
      </x:c>
      <x:c r="P125" t="str">
        <x:v>Diamond I</x:v>
      </x:c>
      <x:c r="Q125" t="n">
        <x:v>4414</x:v>
      </x:c>
      <x:c r="R125" s="14" t="n">
        <x:v>22</x:v>
      </x:c>
      <x:c r="S125" t="n">
        <x:v>26</x:v>
      </x:c>
      <x:c r="T125" t="n">
        <x:v>11</x:v>
      </x:c>
      <x:c r="U125" t="n">
        <x:v>11</x:v>
      </x:c>
      <x:c r="V125" s="16" t="n">
        <x:v>3.36</x:v>
      </x:c>
      <x:c r="W125" t="str">
        <x:v>Parsed from Tracker.gg MHTML/PDF export; competitive rows only.</x:v>
      </x:c>
      <x:c r="X125" t="n">
        <x:f>IF(L125="Win",1,0)</x:f>
        <x:v>1</x:v>
      </x:c>
      <x:c r="Y125" s="14" t="n">
        <x:f>IF(L125="Loss",1,0)</x:f>
        <x:v>0</x:v>
      </x:c>
      <x:c r="Z125" t="n">
        <x:f>IF(L125="Draw/Unknown",1,0)</x:f>
        <x:v>0</x:v>
      </x:c>
      <x:c r="AA125" s="16" t="n">
        <x:f>IF(OR(N125="",O125=""),"",N125-O125)</x:f>
        <x:v>-1</x:v>
      </x:c>
      <x:c r="AB125" s="16" t="n">
        <x:f>IF(T125=0,S125+U125,(S125+U125)/T125)</x:f>
        <x:v>3.3636363636363638</x:v>
      </x:c>
      <x:c r="AC125" t="n">
        <x:f>S125+U125</x:f>
        <x:v>37</x:v>
      </x:c>
      <x:c r="AD125" t="n">
        <x:f>IF(T125=0,1,0)</x:f>
        <x:v>0</x:v>
      </x:c>
      <x:c r="AE125" t="str">
        <x:f>IF(R125&gt;0,"Gain",IF(R125&lt;0,"Loss","Neutral"))</x:f>
        <x:v>Gain</x:v>
      </x:c>
    </x:row>
    <x:row r="126">
      <x:c r="A126" t="n">
        <x:v>125</x:v>
      </x:c>
      <x:c r="B126" s="12" t="n">
        <x:v>46161</x:v>
      </x:c>
      <x:c r="C126" t="str">
        <x:v>May 19</x:v>
      </x:c>
      <x:c r="D126" t="n">
        <x:v>13</x:v>
      </x:c>
      <x:c r="E126" t="n">
        <x:v>8</x:v>
      </x:c>
      <x:c r="F126" s="14" t="n">
        <x:v>5</x:v>
      </x:c>
      <x:c r="G126" t="str">
        <x:v>2w ago</x:v>
      </x:c>
      <x:c r="H126" t="str">
        <x:v>Competitive</x:v>
      </x:c>
      <x:c r="I126" t="str">
        <x:v>Convergence</x:v>
      </x:c>
      <x:c r="J126" t="str">
        <x:v>Heart Of Heaven</x:v>
      </x:c>
      <x:c r="K126" t="str">
        <x:v>Peni Parker</x:v>
      </x:c>
      <x:c r="L126" t="str">
        <x:v>Win</x:v>
      </x:c>
      <x:c r="M126" t="str"/>
      <x:c r="N126" t="n">
        <x:v>0</x:v>
      </x:c>
      <x:c r="O126" t="n">
        <x:v>1</x:v>
      </x:c>
      <x:c r="P126" t="str">
        <x:v>Diamond II</x:v>
      </x:c>
      <x:c r="Q126" t="n">
        <x:v>4392</x:v>
      </x:c>
      <x:c r="R126" s="14" t="n">
        <x:v>23</x:v>
      </x:c>
      <x:c r="S126" t="n">
        <x:v>9</x:v>
      </x:c>
      <x:c r="T126" t="n">
        <x:v>0</x:v>
      </x:c>
      <x:c r="U126" t="n">
        <x:v>14</x:v>
      </x:c>
      <x:c r="V126" s="16" t="n">
        <x:v>23</x:v>
      </x:c>
      <x:c r="W126" t="str">
        <x:v>Parsed from Tracker.gg MHTML/PDF export; competitive rows only.</x:v>
      </x:c>
      <x:c r="X126" t="n">
        <x:f>IF(L126="Win",1,0)</x:f>
        <x:v>1</x:v>
      </x:c>
      <x:c r="Y126" s="14" t="n">
        <x:f>IF(L126="Loss",1,0)</x:f>
        <x:v>0</x:v>
      </x:c>
      <x:c r="Z126" t="n">
        <x:f>IF(L126="Draw/Unknown",1,0)</x:f>
        <x:v>0</x:v>
      </x:c>
      <x:c r="AA126" s="16" t="str">
        <x:f>IF(OR(N126="",O126=""),"",N126-O126)</x:f>
      </x:c>
      <x:c r="AB126" s="16" t="n">
        <x:f>IF(T126=0,S126+U126,(S126+U126)/T126)</x:f>
        <x:v>23</x:v>
      </x:c>
      <x:c r="AC126" t="n">
        <x:f>S126+U126</x:f>
        <x:v>23</x:v>
      </x:c>
      <x:c r="AD126" t="n">
        <x:f>IF(T126=0,1,0)</x:f>
        <x:v>1</x:v>
      </x:c>
      <x:c r="AE126" t="str">
        <x:f>IF(R126&gt;0,"Gain",IF(R126&lt;0,"Loss","Neutral"))</x:f>
        <x:v>Gain</x:v>
      </x:c>
    </x:row>
    <x:row r="127">
      <x:c r="A127" t="n">
        <x:v>126</x:v>
      </x:c>
      <x:c r="B127" s="12" t="n">
        <x:v>46161</x:v>
      </x:c>
      <x:c r="C127" t="str">
        <x:v>May 19</x:v>
      </x:c>
      <x:c r="D127" t="n">
        <x:v>13</x:v>
      </x:c>
      <x:c r="E127" t="n">
        <x:v>8</x:v>
      </x:c>
      <x:c r="F127" s="14" t="n">
        <x:v>5</x:v>
      </x:c>
      <x:c r="G127" t="str">
        <x:v>2w ago</x:v>
      </x:c>
      <x:c r="H127" t="str">
        <x:v>Competitive</x:v>
      </x:c>
      <x:c r="I127" t="str">
        <x:v>Convoy</x:v>
      </x:c>
      <x:c r="J127" t="str">
        <x:v>Yggdrasill Path</x:v>
      </x:c>
      <x:c r="K127" t="str">
        <x:v>Namor</x:v>
      </x:c>
      <x:c r="L127" t="str">
        <x:v>Loss</x:v>
      </x:c>
      <x:c r="M127" t="str"/>
      <x:c r="N127" t="n">
        <x:v>0</x:v>
      </x:c>
      <x:c r="O127" t="n">
        <x:v>1</x:v>
      </x:c>
      <x:c r="P127" t="str">
        <x:v>Diamond II</x:v>
      </x:c>
      <x:c r="Q127" t="n">
        <x:v>4369</x:v>
      </x:c>
      <x:c r="R127" s="14" t="n">
        <x:v>-20</x:v>
      </x:c>
      <x:c r="S127" t="n">
        <x:v>15</x:v>
      </x:c>
      <x:c r="T127" t="n">
        <x:v>5</x:v>
      </x:c>
      <x:c r="U127" t="n">
        <x:v>4</x:v>
      </x:c>
      <x:c r="V127" s="16" t="n">
        <x:v>3.8</x:v>
      </x:c>
      <x:c r="W127" t="str">
        <x:v>Parsed from Tracker.gg MHTML/PDF export; competitive rows only.</x:v>
      </x:c>
      <x:c r="X127" t="n">
        <x:f>IF(L127="Win",1,0)</x:f>
        <x:v>0</x:v>
      </x:c>
      <x:c r="Y127" s="14" t="n">
        <x:f>IF(L127="Loss",1,0)</x:f>
        <x:v>1</x:v>
      </x:c>
      <x:c r="Z127" t="n">
        <x:f>IF(L127="Draw/Unknown",1,0)</x:f>
        <x:v>0</x:v>
      </x:c>
      <x:c r="AA127" s="16" t="str">
        <x:f>IF(OR(N127="",O127=""),"",N127-O127)</x:f>
      </x:c>
      <x:c r="AB127" s="16" t="n">
        <x:f>IF(T127=0,S127+U127,(S127+U127)/T127)</x:f>
        <x:v>3.8</x:v>
      </x:c>
      <x:c r="AC127" t="n">
        <x:f>S127+U127</x:f>
        <x:v>19</x:v>
      </x:c>
      <x:c r="AD127" t="n">
        <x:f>IF(T127=0,1,0)</x:f>
        <x:v>0</x:v>
      </x:c>
      <x:c r="AE127" t="str">
        <x:f>IF(R127&gt;0,"Gain",IF(R127&lt;0,"Loss","Neutral"))</x:f>
        <x:v>Loss</x:v>
      </x:c>
    </x:row>
    <x:row r="128">
      <x:c r="A128" t="n">
        <x:v>127</x:v>
      </x:c>
      <x:c r="B128" s="12" t="n">
        <x:v>46161</x:v>
      </x:c>
      <x:c r="C128" t="str">
        <x:v>May 19</x:v>
      </x:c>
      <x:c r="D128" t="n">
        <x:v>13</x:v>
      </x:c>
      <x:c r="E128" t="n">
        <x:v>8</x:v>
      </x:c>
      <x:c r="F128" s="14" t="n">
        <x:v>5</x:v>
      </x:c>
      <x:c r="G128" t="str">
        <x:v>2w ago</x:v>
      </x:c>
      <x:c r="H128" t="str">
        <x:v>Competitive</x:v>
      </x:c>
      <x:c r="I128" t="str">
        <x:v>Convoy</x:v>
      </x:c>
      <x:c r="J128" t="str">
        <x:v>Museum of Contemplation</x:v>
      </x:c>
      <x:c r="K128" t="str">
        <x:v>Captain America</x:v>
      </x:c>
      <x:c r="L128" t="str">
        <x:v>Win</x:v>
      </x:c>
      <x:c r="M128" t="str"/>
      <x:c r="N128" t="n">
        <x:v>2</x:v>
      </x:c>
      <x:c r="O128" t="n">
        <x:v>1</x:v>
      </x:c>
      <x:c r="P128" t="str">
        <x:v>Diamond II</x:v>
      </x:c>
      <x:c r="Q128" t="n">
        <x:v>4389</x:v>
      </x:c>
      <x:c r="R128" s="14" t="n">
        <x:v>24</x:v>
      </x:c>
      <x:c r="S128" t="n">
        <x:v>27</x:v>
      </x:c>
      <x:c r="T128" t="n">
        <x:v>7</x:v>
      </x:c>
      <x:c r="U128" t="n">
        <x:v>5</x:v>
      </x:c>
      <x:c r="V128" s="16" t="n">
        <x:v>4.57</x:v>
      </x:c>
      <x:c r="W128" t="str">
        <x:v>Parsed from Tracker.gg MHTML/PDF export; competitive rows only.</x:v>
      </x:c>
      <x:c r="X128" t="n">
        <x:f>IF(L128="Win",1,0)</x:f>
        <x:v>1</x:v>
      </x:c>
      <x:c r="Y128" s="14" t="n">
        <x:f>IF(L128="Loss",1,0)</x:f>
        <x:v>0</x:v>
      </x:c>
      <x:c r="Z128" t="n">
        <x:f>IF(L128="Draw/Unknown",1,0)</x:f>
        <x:v>0</x:v>
      </x:c>
      <x:c r="AA128" s="16" t="n">
        <x:f>IF(OR(N128="",O128=""),"",N128-O128)</x:f>
        <x:v>1</x:v>
      </x:c>
      <x:c r="AB128" s="16" t="n">
        <x:f>IF(T128=0,S128+U128,(S128+U128)/T128)</x:f>
        <x:v>4.571428571428571</x:v>
      </x:c>
      <x:c r="AC128" t="n">
        <x:f>S128+U128</x:f>
        <x:v>32</x:v>
      </x:c>
      <x:c r="AD128" t="n">
        <x:f>IF(T128=0,1,0)</x:f>
        <x:v>0</x:v>
      </x:c>
      <x:c r="AE128" t="str">
        <x:f>IF(R128&gt;0,"Gain",IF(R128&lt;0,"Loss","Neutral"))</x:f>
        <x:v>Gain</x:v>
      </x:c>
    </x:row>
    <x:row r="129">
      <x:c r="A129" t="n">
        <x:v>128</x:v>
      </x:c>
      <x:c r="B129" s="12" t="n">
        <x:v>46161</x:v>
      </x:c>
      <x:c r="C129" t="str">
        <x:v>May 19</x:v>
      </x:c>
      <x:c r="D129" t="n">
        <x:v>13</x:v>
      </x:c>
      <x:c r="E129" t="n">
        <x:v>8</x:v>
      </x:c>
      <x:c r="F129" s="14" t="n">
        <x:v>5</x:v>
      </x:c>
      <x:c r="G129" t="str">
        <x:v>2w ago</x:v>
      </x:c>
      <x:c r="H129" t="str">
        <x:v>Competitive</x:v>
      </x:c>
      <x:c r="I129" t="str">
        <x:v>Domination</x:v>
      </x:c>
      <x:c r="J129" t="str">
        <x:v>Celestial Husk</x:v>
      </x:c>
      <x:c r="K129" t="str">
        <x:v>Peni Parker</x:v>
      </x:c>
      <x:c r="L129" t="str">
        <x:v>Win</x:v>
      </x:c>
      <x:c r="M129" t="str"/>
      <x:c r="N129" t="n">
        <x:v>2</x:v>
      </x:c>
      <x:c r="O129" t="n">
        <x:v>0</x:v>
      </x:c>
      <x:c r="P129" t="str">
        <x:v>Diamond II</x:v>
      </x:c>
      <x:c r="Q129" t="n">
        <x:v>4364</x:v>
      </x:c>
      <x:c r="R129" s="14" t="n">
        <x:v>23</x:v>
      </x:c>
      <x:c r="S129" t="n">
        <x:v>29</x:v>
      </x:c>
      <x:c r="T129" t="n">
        <x:v>4</x:v>
      </x:c>
      <x:c r="U129" t="n">
        <x:v>16</x:v>
      </x:c>
      <x:c r="V129" s="16" t="n">
        <x:v>11.25</x:v>
      </x:c>
      <x:c r="W129" t="str">
        <x:v>Parsed from Tracker.gg MHTML/PDF export; competitive rows only.</x:v>
      </x:c>
      <x:c r="X129" t="n">
        <x:f>IF(L129="Win",1,0)</x:f>
        <x:v>1</x:v>
      </x:c>
      <x:c r="Y129" s="14" t="n">
        <x:f>IF(L129="Loss",1,0)</x:f>
        <x:v>0</x:v>
      </x:c>
      <x:c r="Z129" t="n">
        <x:f>IF(L129="Draw/Unknown",1,0)</x:f>
        <x:v>0</x:v>
      </x:c>
      <x:c r="AA129" s="16" t="str">
        <x:f>IF(OR(N129="",O129=""),"",N129-O129)</x:f>
      </x:c>
      <x:c r="AB129" s="16" t="n">
        <x:f>IF(T129=0,S129+U129,(S129+U129)/T129)</x:f>
        <x:v>11.25</x:v>
      </x:c>
      <x:c r="AC129" t="n">
        <x:f>S129+U129</x:f>
        <x:v>45</x:v>
      </x:c>
      <x:c r="AD129" t="n">
        <x:f>IF(T129=0,1,0)</x:f>
        <x:v>0</x:v>
      </x:c>
      <x:c r="AE129" t="str">
        <x:f>IF(R129&gt;0,"Gain",IF(R129&lt;0,"Loss","Neutral"))</x:f>
        <x:v>Gain</x:v>
      </x:c>
    </x:row>
    <x:row r="130">
      <x:c r="A130" t="n">
        <x:v>129</x:v>
      </x:c>
      <x:c r="B130" s="12" t="n">
        <x:v>46161</x:v>
      </x:c>
      <x:c r="C130" t="str">
        <x:v>May 19</x:v>
      </x:c>
      <x:c r="D130" t="n">
        <x:v>13</x:v>
      </x:c>
      <x:c r="E130" t="n">
        <x:v>8</x:v>
      </x:c>
      <x:c r="F130" s="14" t="n">
        <x:v>5</x:v>
      </x:c>
      <x:c r="G130" t="str">
        <x:v>2w ago</x:v>
      </x:c>
      <x:c r="H130" t="str">
        <x:v>Competitive</x:v>
      </x:c>
      <x:c r="I130" t="str">
        <x:v>Convergence</x:v>
      </x:c>
      <x:c r="J130" t="str">
        <x:v>Central Park</x:v>
      </x:c>
      <x:c r="K130" t="str">
        <x:v>The Thing</x:v>
      </x:c>
      <x:c r="L130" t="str">
        <x:v>Loss</x:v>
      </x:c>
      <x:c r="M130" t="str"/>
      <x:c r="N130" t="n">
        <x:v>3</x:v>
      </x:c>
      <x:c r="O130" t="n">
        <x:v>4</x:v>
      </x:c>
      <x:c r="P130" t="str">
        <x:v>Diamond II</x:v>
      </x:c>
      <x:c r="Q130" t="n">
        <x:v>4340</x:v>
      </x:c>
      <x:c r="R130" s="14" t="n">
        <x:v>-19</x:v>
      </x:c>
      <x:c r="S130" t="n">
        <x:v>22</x:v>
      </x:c>
      <x:c r="T130" t="n">
        <x:v>17</x:v>
      </x:c>
      <x:c r="U130" t="n">
        <x:v>14</x:v>
      </x:c>
      <x:c r="V130" s="16" t="n">
        <x:v>2.12</x:v>
      </x:c>
      <x:c r="W130" t="str">
        <x:v>Parsed from Tracker.gg MHTML/PDF export; competitive rows only.</x:v>
      </x:c>
      <x:c r="X130" t="n">
        <x:f>IF(L130="Win",1,0)</x:f>
        <x:v>0</x:v>
      </x:c>
      <x:c r="Y130" s="14" t="n">
        <x:f>IF(L130="Loss",1,0)</x:f>
        <x:v>1</x:v>
      </x:c>
      <x:c r="Z130" t="n">
        <x:f>IF(L130="Draw/Unknown",1,0)</x:f>
        <x:v>0</x:v>
      </x:c>
      <x:c r="AA130" s="16" t="n">
        <x:f>IF(OR(N130="",O130=""),"",N130-O130)</x:f>
        <x:v>-1</x:v>
      </x:c>
      <x:c r="AB130" s="16" t="n">
        <x:f>IF(T130=0,S130+U130,(S130+U130)/T130)</x:f>
        <x:v>2.1176470588235294</x:v>
      </x:c>
      <x:c r="AC130" t="n">
        <x:f>S130+U130</x:f>
        <x:v>36</x:v>
      </x:c>
      <x:c r="AD130" t="n">
        <x:f>IF(T130=0,1,0)</x:f>
        <x:v>0</x:v>
      </x:c>
      <x:c r="AE130" t="str">
        <x:f>IF(R130&gt;0,"Gain",IF(R130&lt;0,"Loss","Neutral"))</x:f>
        <x:v>Loss</x:v>
      </x:c>
    </x:row>
    <x:row r="131">
      <x:c r="A131" t="n">
        <x:v>130</x:v>
      </x:c>
      <x:c r="B131" s="12" t="n">
        <x:v>46161</x:v>
      </x:c>
      <x:c r="C131" t="str">
        <x:v>May 19</x:v>
      </x:c>
      <x:c r="D131" t="n">
        <x:v>13</x:v>
      </x:c>
      <x:c r="E131" t="n">
        <x:v>8</x:v>
      </x:c>
      <x:c r="F131" s="14" t="n">
        <x:v>5</x:v>
      </x:c>
      <x:c r="G131" t="str">
        <x:v>2w ago</x:v>
      </x:c>
      <x:c r="H131" t="str">
        <x:v>Competitive</x:v>
      </x:c>
      <x:c r="I131" t="str">
        <x:v>Domination</x:v>
      </x:c>
      <x:c r="J131" t="str">
        <x:v>Birnin T'Challa</x:v>
      </x:c>
      <x:c r="K131" t="str">
        <x:v>Devil Dinosaur</x:v>
      </x:c>
      <x:c r="L131" t="str">
        <x:v>Loss</x:v>
      </x:c>
      <x:c r="M131" t="str"/>
      <x:c r="N131" t="n">
        <x:v>2</x:v>
      </x:c>
      <x:c r="O131" t="n">
        <x:v>0</x:v>
      </x:c>
      <x:c r="P131" t="str">
        <x:v>Diamond II</x:v>
      </x:c>
      <x:c r="Q131" t="n">
        <x:v>4359</x:v>
      </x:c>
      <x:c r="R131" s="14" t="n">
        <x:v>-21</x:v>
      </x:c>
      <x:c r="S131" t="n">
        <x:v>19</x:v>
      </x:c>
      <x:c r="T131" t="n">
        <x:v>11</x:v>
      </x:c>
      <x:c r="U131" t="n">
        <x:v>11</x:v>
      </x:c>
      <x:c r="V131" s="16" t="n">
        <x:v>2.73</x:v>
      </x:c>
      <x:c r="W131" t="str">
        <x:v>Parsed from Tracker.gg MHTML/PDF export; competitive rows only.</x:v>
      </x:c>
      <x:c r="X131" t="n">
        <x:f>IF(L131="Win",1,0)</x:f>
        <x:v>0</x:v>
      </x:c>
      <x:c r="Y131" s="14" t="n">
        <x:f>IF(L131="Loss",1,0)</x:f>
        <x:v>1</x:v>
      </x:c>
      <x:c r="Z131" t="n">
        <x:f>IF(L131="Draw/Unknown",1,0)</x:f>
        <x:v>0</x:v>
      </x:c>
      <x:c r="AA131" s="16" t="str">
        <x:f>IF(OR(N131="",O131=""),"",N131-O131)</x:f>
      </x:c>
      <x:c r="AB131" s="16" t="n">
        <x:f>IF(T131=0,S131+U131,(S131+U131)/T131)</x:f>
        <x:v>2.727272727272727</x:v>
      </x:c>
      <x:c r="AC131" t="n">
        <x:f>S131+U131</x:f>
        <x:v>30</x:v>
      </x:c>
      <x:c r="AD131" t="n">
        <x:f>IF(T131=0,1,0)</x:f>
        <x:v>0</x:v>
      </x:c>
      <x:c r="AE131" t="str">
        <x:f>IF(R131&gt;0,"Gain",IF(R131&lt;0,"Loss","Neutral"))</x:f>
        <x:v>Loss</x:v>
      </x:c>
    </x:row>
    <x:row r="132">
      <x:c r="A132" t="n">
        <x:v>131</x:v>
      </x:c>
      <x:c r="B132" s="12" t="n">
        <x:v>46161</x:v>
      </x:c>
      <x:c r="C132" t="str">
        <x:v>May 19</x:v>
      </x:c>
      <x:c r="D132" t="n">
        <x:v>13</x:v>
      </x:c>
      <x:c r="E132" t="n">
        <x:v>8</x:v>
      </x:c>
      <x:c r="F132" s="14" t="n">
        <x:v>5</x:v>
      </x:c>
      <x:c r="G132" t="str">
        <x:v>2w ago</x:v>
      </x:c>
      <x:c r="H132" t="str">
        <x:v>Competitive</x:v>
      </x:c>
      <x:c r="I132" t="str">
        <x:v>Convoy</x:v>
      </x:c>
      <x:c r="J132" t="str">
        <x:v>Arakko</x:v>
      </x:c>
      <x:c r="K132" t="str">
        <x:v>Squirrel Girl</x:v>
      </x:c>
      <x:c r="L132" t="str">
        <x:v>Loss</x:v>
      </x:c>
      <x:c r="M132" t="str"/>
      <x:c r="N132" t="n">
        <x:v>3</x:v>
      </x:c>
      <x:c r="O132" t="n">
        <x:v>1</x:v>
      </x:c>
      <x:c r="P132" t="str">
        <x:v>Diamond I</x:v>
      </x:c>
      <x:c r="Q132" t="n">
        <x:v>4379</x:v>
      </x:c>
      <x:c r="R132" s="14" t="n">
        <x:v>-22</x:v>
      </x:c>
      <x:c r="S132" t="n">
        <x:v>15</x:v>
      </x:c>
      <x:c r="T132" t="n">
        <x:v>16</x:v>
      </x:c>
      <x:c r="U132" t="n">
        <x:v>4</x:v>
      </x:c>
      <x:c r="V132" s="16" t="n">
        <x:v>1.19</x:v>
      </x:c>
      <x:c r="W132" t="str">
        <x:v>Parsed from Tracker.gg MHTML/PDF export; competitive rows only.</x:v>
      </x:c>
      <x:c r="X132" t="n">
        <x:f>IF(L132="Win",1,0)</x:f>
        <x:v>0</x:v>
      </x:c>
      <x:c r="Y132" s="14" t="n">
        <x:f>IF(L132="Loss",1,0)</x:f>
        <x:v>1</x:v>
      </x:c>
      <x:c r="Z132" t="n">
        <x:f>IF(L132="Draw/Unknown",1,0)</x:f>
        <x:v>0</x:v>
      </x:c>
      <x:c r="AA132" s="16" t="n">
        <x:f>IF(OR(N132="",O132=""),"",N132-O132)</x:f>
        <x:v>2</x:v>
      </x:c>
      <x:c r="AB132" s="16" t="n">
        <x:f>IF(T132=0,S132+U132,(S132+U132)/T132)</x:f>
        <x:v>1.1875</x:v>
      </x:c>
      <x:c r="AC132" t="n">
        <x:f>S132+U132</x:f>
        <x:v>19</x:v>
      </x:c>
      <x:c r="AD132" t="n">
        <x:f>IF(T132=0,1,0)</x:f>
        <x:v>0</x:v>
      </x:c>
      <x:c r="AE132" t="str">
        <x:f>IF(R132&gt;0,"Gain",IF(R132&lt;0,"Loss","Neutral"))</x:f>
        <x:v>Loss</x:v>
      </x:c>
    </x:row>
    <x:row r="133">
      <x:c r="A133" t="n">
        <x:v>132</x:v>
      </x:c>
      <x:c r="B133" s="12" t="n">
        <x:v>46161</x:v>
      </x:c>
      <x:c r="C133" t="str">
        <x:v>May 19</x:v>
      </x:c>
      <x:c r="D133" t="n">
        <x:v>13</x:v>
      </x:c>
      <x:c r="E133" t="n">
        <x:v>8</x:v>
      </x:c>
      <x:c r="F133" s="14" t="n">
        <x:v>5</x:v>
      </x:c>
      <x:c r="G133" t="str">
        <x:v>2w ago</x:v>
      </x:c>
      <x:c r="H133" t="str">
        <x:v>Competitive</x:v>
      </x:c>
      <x:c r="I133" t="str">
        <x:v>Convergence</x:v>
      </x:c>
      <x:c r="J133" t="str">
        <x:v>Shin-Shibuya</x:v>
      </x:c>
      <x:c r="K133" t="str">
        <x:v>The Thing</x:v>
      </x:c>
      <x:c r="L133" t="str">
        <x:v>Win</x:v>
      </x:c>
      <x:c r="M133" t="str">
        <x:v>MVP</x:v>
      </x:c>
      <x:c r="N133" t="n">
        <x:v>4</x:v>
      </x:c>
      <x:c r="O133" t="n">
        <x:v>3</x:v>
      </x:c>
      <x:c r="P133" t="str">
        <x:v>Diamond I</x:v>
      </x:c>
      <x:c r="Q133" t="n">
        <x:v>4401</x:v>
      </x:c>
      <x:c r="R133" s="14" t="n">
        <x:v>25</x:v>
      </x:c>
      <x:c r="S133" t="n">
        <x:v>41</x:v>
      </x:c>
      <x:c r="T133" t="n">
        <x:v>21</x:v>
      </x:c>
      <x:c r="U133" t="n">
        <x:v>14</x:v>
      </x:c>
      <x:c r="V133" s="16" t="n">
        <x:v>2.62</x:v>
      </x:c>
      <x:c r="W133" t="str">
        <x:v>Parsed from Tracker.gg MHTML/PDF export; competitive rows only.</x:v>
      </x:c>
      <x:c r="X133" t="n">
        <x:f>IF(L133="Win",1,0)</x:f>
        <x:v>1</x:v>
      </x:c>
      <x:c r="Y133" s="14" t="n">
        <x:f>IF(L133="Loss",1,0)</x:f>
        <x:v>0</x:v>
      </x:c>
      <x:c r="Z133" t="n">
        <x:f>IF(L133="Draw/Unknown",1,0)</x:f>
        <x:v>0</x:v>
      </x:c>
      <x:c r="AA133" s="16" t="n">
        <x:f>IF(OR(N133="",O133=""),"",N133-O133)</x:f>
        <x:v>1</x:v>
      </x:c>
      <x:c r="AB133" s="16" t="n">
        <x:f>IF(T133=0,S133+U133,(S133+U133)/T133)</x:f>
        <x:v>2.619047619047619</x:v>
      </x:c>
      <x:c r="AC133" t="n">
        <x:f>S133+U133</x:f>
        <x:v>55</x:v>
      </x:c>
      <x:c r="AD133" t="n">
        <x:f>IF(T133=0,1,0)</x:f>
        <x:v>0</x:v>
      </x:c>
      <x:c r="AE133" t="str">
        <x:f>IF(R133&gt;0,"Gain",IF(R133&lt;0,"Loss","Neutral"))</x:f>
        <x:v>Gain</x:v>
      </x:c>
    </x:row>
    <x:row r="134">
      <x:c r="A134" t="n">
        <x:v>133</x:v>
      </x:c>
      <x:c r="B134" s="12" t="n">
        <x:v>46161</x:v>
      </x:c>
      <x:c r="C134" t="str">
        <x:v>May 19</x:v>
      </x:c>
      <x:c r="D134" t="n">
        <x:v>13</x:v>
      </x:c>
      <x:c r="E134" t="n">
        <x:v>8</x:v>
      </x:c>
      <x:c r="F134" s="14" t="n">
        <x:v>5</x:v>
      </x:c>
      <x:c r="G134" t="str">
        <x:v>2w ago</x:v>
      </x:c>
      <x:c r="H134" t="str">
        <x:v>Competitive</x:v>
      </x:c>
      <x:c r="I134" t="str">
        <x:v>Convoy</x:v>
      </x:c>
      <x:c r="J134" t="str">
        <x:v>Yggdrasill Path</x:v>
      </x:c>
      <x:c r="K134" t="str">
        <x:v>The Thing</x:v>
      </x:c>
      <x:c r="L134" t="str">
        <x:v>Win</x:v>
      </x:c>
      <x:c r="M134" t="str">
        <x:v>MVP</x:v>
      </x:c>
      <x:c r="N134" t="n">
        <x:v>2</x:v>
      </x:c>
      <x:c r="O134" t="n">
        <x:v>3</x:v>
      </x:c>
      <x:c r="P134" t="str">
        <x:v>Diamond II</x:v>
      </x:c>
      <x:c r="Q134" t="n">
        <x:v>4376</x:v>
      </x:c>
      <x:c r="R134" s="14" t="n">
        <x:v>25</x:v>
      </x:c>
      <x:c r="S134" t="n">
        <x:v>26</x:v>
      </x:c>
      <x:c r="T134" t="n">
        <x:v>6</x:v>
      </x:c>
      <x:c r="U134" t="n">
        <x:v>17</x:v>
      </x:c>
      <x:c r="V134" s="16" t="n">
        <x:v>7.17</x:v>
      </x:c>
      <x:c r="W134" t="str">
        <x:v>Parsed from Tracker.gg MHTML/PDF export; competitive rows only.</x:v>
      </x:c>
      <x:c r="X134" t="n">
        <x:f>IF(L134="Win",1,0)</x:f>
        <x:v>1</x:v>
      </x:c>
      <x:c r="Y134" s="14" t="n">
        <x:f>IF(L134="Loss",1,0)</x:f>
        <x:v>0</x:v>
      </x:c>
      <x:c r="Z134" t="n">
        <x:f>IF(L134="Draw/Unknown",1,0)</x:f>
        <x:v>0</x:v>
      </x:c>
      <x:c r="AA134" s="16" t="n">
        <x:f>IF(OR(N134="",O134=""),"",N134-O134)</x:f>
        <x:v>-1</x:v>
      </x:c>
      <x:c r="AB134" s="16" t="n">
        <x:f>IF(T134=0,S134+U134,(S134+U134)/T134)</x:f>
        <x:v>7.166666666666667</x:v>
      </x:c>
      <x:c r="AC134" t="n">
        <x:f>S134+U134</x:f>
        <x:v>43</x:v>
      </x:c>
      <x:c r="AD134" t="n">
        <x:f>IF(T134=0,1,0)</x:f>
        <x:v>0</x:v>
      </x:c>
      <x:c r="AE134" t="str">
        <x:f>IF(R134&gt;0,"Gain",IF(R134&lt;0,"Loss","Neutral"))</x:f>
        <x:v>Gain</x:v>
      </x:c>
    </x:row>
    <x:row r="135">
      <x:c r="A135" t="n">
        <x:v>134</x:v>
      </x:c>
      <x:c r="B135" s="12" t="n">
        <x:v>46161</x:v>
      </x:c>
      <x:c r="C135" t="str">
        <x:v>May 19</x:v>
      </x:c>
      <x:c r="D135" t="n">
        <x:v>13</x:v>
      </x:c>
      <x:c r="E135" t="n">
        <x:v>8</x:v>
      </x:c>
      <x:c r="F135" s="14" t="n">
        <x:v>5</x:v>
      </x:c>
      <x:c r="G135" t="str">
        <x:v>2w ago</x:v>
      </x:c>
      <x:c r="H135" t="str">
        <x:v>Competitive</x:v>
      </x:c>
      <x:c r="I135" t="str">
        <x:v>Domination</x:v>
      </x:c>
      <x:c r="J135" t="str">
        <x:v>Birnin T'Challa</x:v>
      </x:c>
      <x:c r="K135" t="str">
        <x:v>The Thing</x:v>
      </x:c>
      <x:c r="L135" t="str">
        <x:v>Win</x:v>
      </x:c>
      <x:c r="M135" t="str"/>
      <x:c r="N135" t="n">
        <x:v>0</x:v>
      </x:c>
      <x:c r="O135" t="n">
        <x:v>2</x:v>
      </x:c>
      <x:c r="P135" t="str">
        <x:v>Diamond II</x:v>
      </x:c>
      <x:c r="Q135" t="n">
        <x:v>4350</x:v>
      </x:c>
      <x:c r="R135" s="14" t="n">
        <x:v>23</x:v>
      </x:c>
      <x:c r="S135" t="n">
        <x:v>6</x:v>
      </x:c>
      <x:c r="T135" t="n">
        <x:v>0</x:v>
      </x:c>
      <x:c r="U135" t="n">
        <x:v>0</x:v>
      </x:c>
      <x:c r="V135" s="16" t="n">
        <x:v>6</x:v>
      </x:c>
      <x:c r="W135" t="str">
        <x:v>Parsed from Tracker.gg MHTML/PDF export; competitive rows only.</x:v>
      </x:c>
      <x:c r="X135" t="n">
        <x:f>IF(L135="Win",1,0)</x:f>
        <x:v>1</x:v>
      </x:c>
      <x:c r="Y135" s="14" t="n">
        <x:f>IF(L135="Loss",1,0)</x:f>
        <x:v>0</x:v>
      </x:c>
      <x:c r="Z135" t="n">
        <x:f>IF(L135="Draw/Unknown",1,0)</x:f>
        <x:v>0</x:v>
      </x:c>
      <x:c r="AA135" s="16" t="str">
        <x:f>IF(OR(N135="",O135=""),"",N135-O135)</x:f>
      </x:c>
      <x:c r="AB135" s="16" t="n">
        <x:f>IF(T135=0,S135+U135,(S135+U135)/T135)</x:f>
        <x:v>6</x:v>
      </x:c>
      <x:c r="AC135" t="n">
        <x:f>S135+U135</x:f>
        <x:v>6</x:v>
      </x:c>
      <x:c r="AD135" t="n">
        <x:f>IF(T135=0,1,0)</x:f>
        <x:v>1</x:v>
      </x:c>
      <x:c r="AE135" t="str">
        <x:f>IF(R135&gt;0,"Gain",IF(R135&lt;0,"Loss","Neutral"))</x:f>
        <x:v>Gain</x:v>
      </x:c>
    </x:row>
    <x:row r="136">
      <x:c r="A136" t="n">
        <x:v>135</x:v>
      </x:c>
      <x:c r="B136" s="12" t="n">
        <x:v>46161</x:v>
      </x:c>
      <x:c r="C136" t="str">
        <x:v>May 19</x:v>
      </x:c>
      <x:c r="D136" t="n">
        <x:v>13</x:v>
      </x:c>
      <x:c r="E136" t="n">
        <x:v>8</x:v>
      </x:c>
      <x:c r="F136" s="14" t="n">
        <x:v>5</x:v>
      </x:c>
      <x:c r="G136" t="str">
        <x:v>2w ago</x:v>
      </x:c>
      <x:c r="H136" t="str">
        <x:v>Competitive</x:v>
      </x:c>
      <x:c r="I136" t="str">
        <x:v>Convergence</x:v>
      </x:c>
      <x:c r="J136" t="str">
        <x:v>Central Park</x:v>
      </x:c>
      <x:c r="K136" t="str">
        <x:v>Groot</x:v>
      </x:c>
      <x:c r="L136" t="str">
        <x:v>Win</x:v>
      </x:c>
      <x:c r="M136" t="str"/>
      <x:c r="N136" t="n">
        <x:v>2</x:v>
      </x:c>
      <x:c r="O136" t="n">
        <x:v>3</x:v>
      </x:c>
      <x:c r="P136" t="str">
        <x:v>Diamond II</x:v>
      </x:c>
      <x:c r="Q136" t="n">
        <x:v>4327</x:v>
      </x:c>
      <x:c r="R136" s="14" t="n">
        <x:v>23</x:v>
      </x:c>
      <x:c r="S136" t="n">
        <x:v>23</x:v>
      </x:c>
      <x:c r="T136" t="n">
        <x:v>7</x:v>
      </x:c>
      <x:c r="U136" t="n">
        <x:v>9</x:v>
      </x:c>
      <x:c r="V136" s="16" t="n">
        <x:v>4.57</x:v>
      </x:c>
      <x:c r="W136" t="str">
        <x:v>Parsed from Tracker.gg MHTML/PDF export; competitive rows only.</x:v>
      </x:c>
      <x:c r="X136" t="n">
        <x:f>IF(L136="Win",1,0)</x:f>
        <x:v>1</x:v>
      </x:c>
      <x:c r="Y136" s="14" t="n">
        <x:f>IF(L136="Loss",1,0)</x:f>
        <x:v>0</x:v>
      </x:c>
      <x:c r="Z136" t="n">
        <x:f>IF(L136="Draw/Unknown",1,0)</x:f>
        <x:v>0</x:v>
      </x:c>
      <x:c r="AA136" s="16" t="n">
        <x:f>IF(OR(N136="",O136=""),"",N136-O136)</x:f>
        <x:v>-1</x:v>
      </x:c>
      <x:c r="AB136" s="16" t="n">
        <x:f>IF(T136=0,S136+U136,(S136+U136)/T136)</x:f>
        <x:v>4.571428571428571</x:v>
      </x:c>
      <x:c r="AC136" t="n">
        <x:f>S136+U136</x:f>
        <x:v>32</x:v>
      </x:c>
      <x:c r="AD136" t="n">
        <x:f>IF(T136=0,1,0)</x:f>
        <x:v>0</x:v>
      </x:c>
      <x:c r="AE136" t="str">
        <x:f>IF(R136&gt;0,"Gain",IF(R136&lt;0,"Loss","Neutral"))</x:f>
        <x:v>Gain</x:v>
      </x:c>
    </x:row>
    <x:row r="137">
      <x:c r="A137" t="n">
        <x:v>136</x:v>
      </x:c>
      <x:c r="B137" s="12" t="n">
        <x:v>46160</x:v>
      </x:c>
      <x:c r="C137" t="str">
        <x:v>May 18</x:v>
      </x:c>
      <x:c r="D137" t="n">
        <x:v>13</x:v>
      </x:c>
      <x:c r="E137" t="n">
        <x:v>7</x:v>
      </x:c>
      <x:c r="F137" s="14" t="n">
        <x:v>6</x:v>
      </x:c>
      <x:c r="G137" t="str">
        <x:v>2w ago</x:v>
      </x:c>
      <x:c r="H137" t="str">
        <x:v>Competitive</x:v>
      </x:c>
      <x:c r="I137" t="str">
        <x:v>Convoy</x:v>
      </x:c>
      <x:c r="J137" t="str">
        <x:v>Midtown</x:v>
      </x:c>
      <x:c r="K137" t="str">
        <x:v>Squirrel Girl</x:v>
      </x:c>
      <x:c r="L137" t="str">
        <x:v>Loss</x:v>
      </x:c>
      <x:c r="M137" t="str">
        <x:v>SVP</x:v>
      </x:c>
      <x:c r="N137" t="n">
        <x:v>3</x:v>
      </x:c>
      <x:c r="O137" t="n">
        <x:v>0</x:v>
      </x:c>
      <x:c r="P137" t="str">
        <x:v>Diamond II</x:v>
      </x:c>
      <x:c r="Q137" t="n">
        <x:v>4303</x:v>
      </x:c>
      <x:c r="R137" s="14" t="n">
        <x:v>-17</x:v>
      </x:c>
      <x:c r="S137" t="n">
        <x:v>10</x:v>
      </x:c>
      <x:c r="T137" t="n">
        <x:v>10</x:v>
      </x:c>
      <x:c r="U137" t="n">
        <x:v>2</x:v>
      </x:c>
      <x:c r="V137" s="16" t="n">
        <x:v>1.2</x:v>
      </x:c>
      <x:c r="W137" t="str">
        <x:v>Parsed from Tracker.gg MHTML/PDF export; competitive rows only.</x:v>
      </x:c>
      <x:c r="X137" t="n">
        <x:f>IF(L137="Win",1,0)</x:f>
        <x:v>0</x:v>
      </x:c>
      <x:c r="Y137" s="14" t="n">
        <x:f>IF(L137="Loss",1,0)</x:f>
        <x:v>1</x:v>
      </x:c>
      <x:c r="Z137" t="n">
        <x:f>IF(L137="Draw/Unknown",1,0)</x:f>
        <x:v>0</x:v>
      </x:c>
      <x:c r="AA137" s="16" t="str">
        <x:f>IF(OR(N137="",O137=""),"",N137-O137)</x:f>
      </x:c>
      <x:c r="AB137" s="16" t="n">
        <x:f>IF(T137=0,S137+U137,(S137+U137)/T137)</x:f>
        <x:v>1.2</x:v>
      </x:c>
      <x:c r="AC137" t="n">
        <x:f>S137+U137</x:f>
        <x:v>12</x:v>
      </x:c>
      <x:c r="AD137" t="n">
        <x:f>IF(T137=0,1,0)</x:f>
        <x:v>0</x:v>
      </x:c>
      <x:c r="AE137" t="str">
        <x:f>IF(R137&gt;0,"Gain",IF(R137&lt;0,"Loss","Neutral"))</x:f>
        <x:v>Loss</x:v>
      </x:c>
    </x:row>
    <x:row r="138">
      <x:c r="A138" t="n">
        <x:v>137</x:v>
      </x:c>
      <x:c r="B138" s="12" t="n">
        <x:v>46160</x:v>
      </x:c>
      <x:c r="C138" t="str">
        <x:v>May 18</x:v>
      </x:c>
      <x:c r="D138" t="n">
        <x:v>13</x:v>
      </x:c>
      <x:c r="E138" t="n">
        <x:v>7</x:v>
      </x:c>
      <x:c r="F138" s="14" t="n">
        <x:v>6</x:v>
      </x:c>
      <x:c r="G138" t="str">
        <x:v>2w ago</x:v>
      </x:c>
      <x:c r="H138" t="str">
        <x:v>Competitive</x:v>
      </x:c>
      <x:c r="I138" t="str">
        <x:v>Convoy</x:v>
      </x:c>
      <x:c r="J138" t="str">
        <x:v>Museum of Contemplation</x:v>
      </x:c>
      <x:c r="K138" t="str">
        <x:v>Squirrel Girl</x:v>
      </x:c>
      <x:c r="L138" t="str">
        <x:v>Loss</x:v>
      </x:c>
      <x:c r="M138" t="str">
        <x:v>SVP</x:v>
      </x:c>
      <x:c r="N138" t="n">
        <x:v>0</x:v>
      </x:c>
      <x:c r="O138" t="n">
        <x:v>1</x:v>
      </x:c>
      <x:c r="P138" t="str">
        <x:v>Diamond II</x:v>
      </x:c>
      <x:c r="Q138" t="n">
        <x:v>4320</x:v>
      </x:c>
      <x:c r="R138" s="14" t="n">
        <x:v>-17</x:v>
      </x:c>
      <x:c r="S138" t="n">
        <x:v>7</x:v>
      </x:c>
      <x:c r="T138" t="n">
        <x:v>4</x:v>
      </x:c>
      <x:c r="U138" t="n">
        <x:v>0</x:v>
      </x:c>
      <x:c r="V138" s="16" t="n">
        <x:v>1.75</x:v>
      </x:c>
      <x:c r="W138" t="str">
        <x:v>Parsed from Tracker.gg MHTML/PDF export; competitive rows only.</x:v>
      </x:c>
      <x:c r="X138" t="n">
        <x:f>IF(L138="Win",1,0)</x:f>
        <x:v>0</x:v>
      </x:c>
      <x:c r="Y138" s="14" t="n">
        <x:f>IF(L138="Loss",1,0)</x:f>
        <x:v>1</x:v>
      </x:c>
      <x:c r="Z138" t="n">
        <x:f>IF(L138="Draw/Unknown",1,0)</x:f>
        <x:v>0</x:v>
      </x:c>
      <x:c r="AA138" s="16" t="str">
        <x:f>IF(OR(N138="",O138=""),"",N138-O138)</x:f>
      </x:c>
      <x:c r="AB138" s="16" t="n">
        <x:f>IF(T138=0,S138+U138,(S138+U138)/T138)</x:f>
        <x:v>1.75</x:v>
      </x:c>
      <x:c r="AC138" t="n">
        <x:f>S138+U138</x:f>
        <x:v>7</x:v>
      </x:c>
      <x:c r="AD138" t="n">
        <x:f>IF(T138=0,1,0)</x:f>
        <x:v>0</x:v>
      </x:c>
      <x:c r="AE138" t="str">
        <x:f>IF(R138&gt;0,"Gain",IF(R138&lt;0,"Loss","Neutral"))</x:f>
        <x:v>Loss</x:v>
      </x:c>
    </x:row>
    <x:row r="139">
      <x:c r="A139" t="n">
        <x:v>138</x:v>
      </x:c>
      <x:c r="B139" s="12" t="n">
        <x:v>46160</x:v>
      </x:c>
      <x:c r="C139" t="str">
        <x:v>May 18</x:v>
      </x:c>
      <x:c r="D139" t="n">
        <x:v>13</x:v>
      </x:c>
      <x:c r="E139" t="n">
        <x:v>7</x:v>
      </x:c>
      <x:c r="F139" s="14" t="n">
        <x:v>6</x:v>
      </x:c>
      <x:c r="G139" t="str">
        <x:v>2w ago</x:v>
      </x:c>
      <x:c r="H139" t="str">
        <x:v>Competitive</x:v>
      </x:c>
      <x:c r="I139" t="str">
        <x:v>Convergence</x:v>
      </x:c>
      <x:c r="J139" t="str">
        <x:v>Symbiotic Surface</x:v>
      </x:c>
      <x:c r="K139" t="str">
        <x:v>Squirrel Girl</x:v>
      </x:c>
      <x:c r="L139" t="str">
        <x:v>Loss</x:v>
      </x:c>
      <x:c r="M139" t="str">
        <x:v>SVP</x:v>
      </x:c>
      <x:c r="N139" t="n">
        <x:v>3</x:v>
      </x:c>
      <x:c r="O139" t="n">
        <x:v>1</x:v>
      </x:c>
      <x:c r="P139" t="str">
        <x:v>Diamond II</x:v>
      </x:c>
      <x:c r="Q139" t="n">
        <x:v>4337</x:v>
      </x:c>
      <x:c r="R139" s="14" t="n">
        <x:v>-17</x:v>
      </x:c>
      <x:c r="S139" t="n">
        <x:v>25</x:v>
      </x:c>
      <x:c r="T139" t="n">
        <x:v>11</x:v>
      </x:c>
      <x:c r="U139" t="n">
        <x:v>3</x:v>
      </x:c>
      <x:c r="V139" s="16" t="n">
        <x:v>2.55</x:v>
      </x:c>
      <x:c r="W139" t="str">
        <x:v>Parsed from Tracker.gg MHTML/PDF export; competitive rows only.</x:v>
      </x:c>
      <x:c r="X139" t="n">
        <x:f>IF(L139="Win",1,0)</x:f>
        <x:v>0</x:v>
      </x:c>
      <x:c r="Y139" s="14" t="n">
        <x:f>IF(L139="Loss",1,0)</x:f>
        <x:v>1</x:v>
      </x:c>
      <x:c r="Z139" t="n">
        <x:f>IF(L139="Draw/Unknown",1,0)</x:f>
        <x:v>0</x:v>
      </x:c>
      <x:c r="AA139" s="16" t="n">
        <x:f>IF(OR(N139="",O139=""),"",N139-O139)</x:f>
        <x:v>2</x:v>
      </x:c>
      <x:c r="AB139" s="16" t="n">
        <x:f>IF(T139=0,S139+U139,(S139+U139)/T139)</x:f>
        <x:v>2.5454545454545454</x:v>
      </x:c>
      <x:c r="AC139" t="n">
        <x:f>S139+U139</x:f>
        <x:v>28</x:v>
      </x:c>
      <x:c r="AD139" t="n">
        <x:f>IF(T139=0,1,0)</x:f>
        <x:v>0</x:v>
      </x:c>
      <x:c r="AE139" t="str">
        <x:f>IF(R139&gt;0,"Gain",IF(R139&lt;0,"Loss","Neutral"))</x:f>
        <x:v>Loss</x:v>
      </x:c>
    </x:row>
    <x:row r="140">
      <x:c r="A140" t="n">
        <x:v>139</x:v>
      </x:c>
      <x:c r="B140" s="12" t="n">
        <x:v>46160</x:v>
      </x:c>
      <x:c r="C140" t="str">
        <x:v>May 18</x:v>
      </x:c>
      <x:c r="D140" t="n">
        <x:v>13</x:v>
      </x:c>
      <x:c r="E140" t="n">
        <x:v>7</x:v>
      </x:c>
      <x:c r="F140" s="14" t="n">
        <x:v>6</x:v>
      </x:c>
      <x:c r="G140" t="str">
        <x:v>2w ago</x:v>
      </x:c>
      <x:c r="H140" t="str">
        <x:v>Competitive</x:v>
      </x:c>
      <x:c r="I140" t="str">
        <x:v>Convoy</x:v>
      </x:c>
      <x:c r="J140" t="str">
        <x:v>Arakko</x:v>
      </x:c>
      <x:c r="K140" t="str">
        <x:v>Rogue</x:v>
      </x:c>
      <x:c r="L140" t="str">
        <x:v>Win</x:v>
      </x:c>
      <x:c r="M140" t="str"/>
      <x:c r="N140" t="n">
        <x:v>0</x:v>
      </x:c>
      <x:c r="O140" t="n">
        <x:v>1</x:v>
      </x:c>
      <x:c r="P140" t="str">
        <x:v>Diamond II</x:v>
      </x:c>
      <x:c r="Q140" t="n">
        <x:v>4353</x:v>
      </x:c>
      <x:c r="R140" s="14" t="n">
        <x:v>23</x:v>
      </x:c>
      <x:c r="S140" t="n">
        <x:v>13</x:v>
      </x:c>
      <x:c r="T140" t="n">
        <x:v>3</x:v>
      </x:c>
      <x:c r="U140" t="n">
        <x:v>4</x:v>
      </x:c>
      <x:c r="V140" s="16" t="n">
        <x:v>5.67</x:v>
      </x:c>
      <x:c r="W140" t="str">
        <x:v>Parsed from Tracker.gg MHTML/PDF export; competitive rows only.</x:v>
      </x:c>
      <x:c r="X140" t="n">
        <x:f>IF(L140="Win",1,0)</x:f>
        <x:v>1</x:v>
      </x:c>
      <x:c r="Y140" s="14" t="n">
        <x:f>IF(L140="Loss",1,0)</x:f>
        <x:v>0</x:v>
      </x:c>
      <x:c r="Z140" t="n">
        <x:f>IF(L140="Draw/Unknown",1,0)</x:f>
        <x:v>0</x:v>
      </x:c>
      <x:c r="AA140" s="16" t="str">
        <x:f>IF(OR(N140="",O140=""),"",N140-O140)</x:f>
      </x:c>
      <x:c r="AB140" s="16" t="n">
        <x:f>IF(T140=0,S140+U140,(S140+U140)/T140)</x:f>
        <x:v>5.666666666666667</x:v>
      </x:c>
      <x:c r="AC140" t="n">
        <x:f>S140+U140</x:f>
        <x:v>17</x:v>
      </x:c>
      <x:c r="AD140" t="n">
        <x:f>IF(T140=0,1,0)</x:f>
        <x:v>0</x:v>
      </x:c>
      <x:c r="AE140" t="str">
        <x:f>IF(R140&gt;0,"Gain",IF(R140&lt;0,"Loss","Neutral"))</x:f>
        <x:v>Gain</x:v>
      </x:c>
    </x:row>
    <x:row r="141">
      <x:c r="A141" t="n">
        <x:v>140</x:v>
      </x:c>
      <x:c r="B141" s="12" t="n">
        <x:v>46160</x:v>
      </x:c>
      <x:c r="C141" t="str">
        <x:v>May 18</x:v>
      </x:c>
      <x:c r="D141" t="n">
        <x:v>13</x:v>
      </x:c>
      <x:c r="E141" t="n">
        <x:v>7</x:v>
      </x:c>
      <x:c r="F141" s="14" t="n">
        <x:v>6</x:v>
      </x:c>
      <x:c r="G141" t="str">
        <x:v>2w ago</x:v>
      </x:c>
      <x:c r="H141" t="str">
        <x:v>Competitive</x:v>
      </x:c>
      <x:c r="I141" t="str">
        <x:v>Convergence</x:v>
      </x:c>
      <x:c r="J141" t="str">
        <x:v>Central Park</x:v>
      </x:c>
      <x:c r="K141" t="str">
        <x:v>Namor</x:v>
      </x:c>
      <x:c r="L141" t="str">
        <x:v>Loss</x:v>
      </x:c>
      <x:c r="M141" t="str"/>
      <x:c r="N141" t="n">
        <x:v>3</x:v>
      </x:c>
      <x:c r="O141" t="n">
        <x:v>1</x:v>
      </x:c>
      <x:c r="P141" t="str">
        <x:v>Diamond II</x:v>
      </x:c>
      <x:c r="Q141" t="n">
        <x:v>4330</x:v>
      </x:c>
      <x:c r="R141" s="14" t="n">
        <x:v>-20</x:v>
      </x:c>
      <x:c r="S141" t="n">
        <x:v>23</x:v>
      </x:c>
      <x:c r="T141" t="n">
        <x:v>18</x:v>
      </x:c>
      <x:c r="U141" t="n">
        <x:v>2</x:v>
      </x:c>
      <x:c r="V141" s="16" t="n">
        <x:v>1.39</x:v>
      </x:c>
      <x:c r="W141" t="str">
        <x:v>Parsed from Tracker.gg MHTML/PDF export; competitive rows only.</x:v>
      </x:c>
      <x:c r="X141" t="n">
        <x:f>IF(L141="Win",1,0)</x:f>
        <x:v>0</x:v>
      </x:c>
      <x:c r="Y141" s="14" t="n">
        <x:f>IF(L141="Loss",1,0)</x:f>
        <x:v>1</x:v>
      </x:c>
      <x:c r="Z141" t="n">
        <x:f>IF(L141="Draw/Unknown",1,0)</x:f>
        <x:v>0</x:v>
      </x:c>
      <x:c r="AA141" s="16" t="n">
        <x:f>IF(OR(N141="",O141=""),"",N141-O141)</x:f>
        <x:v>2</x:v>
      </x:c>
      <x:c r="AB141" s="16" t="n">
        <x:f>IF(T141=0,S141+U141,(S141+U141)/T141)</x:f>
        <x:v>1.3888888888888888</x:v>
      </x:c>
      <x:c r="AC141" t="n">
        <x:f>S141+U141</x:f>
        <x:v>25</x:v>
      </x:c>
      <x:c r="AD141" t="n">
        <x:f>IF(T141=0,1,0)</x:f>
        <x:v>0</x:v>
      </x:c>
      <x:c r="AE141" t="str">
        <x:f>IF(R141&gt;0,"Gain",IF(R141&lt;0,"Loss","Neutral"))</x:f>
        <x:v>Loss</x:v>
      </x:c>
    </x:row>
    <x:row r="142">
      <x:c r="A142" t="n">
        <x:v>141</x:v>
      </x:c>
      <x:c r="B142" s="12" t="n">
        <x:v>46160</x:v>
      </x:c>
      <x:c r="C142" t="str">
        <x:v>May 18</x:v>
      </x:c>
      <x:c r="D142" t="n">
        <x:v>13</x:v>
      </x:c>
      <x:c r="E142" t="n">
        <x:v>7</x:v>
      </x:c>
      <x:c r="F142" s="14" t="n">
        <x:v>6</x:v>
      </x:c>
      <x:c r="G142" t="str">
        <x:v>2w ago</x:v>
      </x:c>
      <x:c r="H142" t="str">
        <x:v>Competitive</x:v>
      </x:c>
      <x:c r="I142" t="str">
        <x:v>Convergence</x:v>
      </x:c>
      <x:c r="J142" t="str">
        <x:v>Shin-Shibuya</x:v>
      </x:c>
      <x:c r="K142" t="str">
        <x:v>Squirrel Girl</x:v>
      </x:c>
      <x:c r="L142" t="str">
        <x:v>Win</x:v>
      </x:c>
      <x:c r="M142" t="str"/>
      <x:c r="N142" t="n">
        <x:v>1</x:v>
      </x:c>
      <x:c r="O142" t="n">
        <x:v>2</x:v>
      </x:c>
      <x:c r="P142" t="str">
        <x:v>Diamond II</x:v>
      </x:c>
      <x:c r="Q142" t="n">
        <x:v>4349</x:v>
      </x:c>
      <x:c r="R142" s="14" t="n">
        <x:v>25</x:v>
      </x:c>
      <x:c r="S142" t="n">
        <x:v>37</x:v>
      </x:c>
      <x:c r="T142" t="n">
        <x:v>7</x:v>
      </x:c>
      <x:c r="U142" t="n">
        <x:v>10</x:v>
      </x:c>
      <x:c r="V142" s="16" t="n">
        <x:v>6.71</x:v>
      </x:c>
      <x:c r="W142" t="str">
        <x:v>Parsed from Tracker.gg MHTML/PDF export; competitive rows only.</x:v>
      </x:c>
      <x:c r="X142" t="n">
        <x:f>IF(L142="Win",1,0)</x:f>
        <x:v>1</x:v>
      </x:c>
      <x:c r="Y142" s="14" t="n">
        <x:f>IF(L142="Loss",1,0)</x:f>
        <x:v>0</x:v>
      </x:c>
      <x:c r="Z142" t="n">
        <x:f>IF(L142="Draw/Unknown",1,0)</x:f>
        <x:v>0</x:v>
      </x:c>
      <x:c r="AA142" s="16" t="n">
        <x:f>IF(OR(N142="",O142=""),"",N142-O142)</x:f>
        <x:v>-1</x:v>
      </x:c>
      <x:c r="AB142" s="16" t="n">
        <x:f>IF(T142=0,S142+U142,(S142+U142)/T142)</x:f>
        <x:v>6.714285714285714</x:v>
      </x:c>
      <x:c r="AC142" t="n">
        <x:f>S142+U142</x:f>
        <x:v>47</x:v>
      </x:c>
      <x:c r="AD142" t="n">
        <x:f>IF(T142=0,1,0)</x:f>
        <x:v>0</x:v>
      </x:c>
      <x:c r="AE142" t="str">
        <x:f>IF(R142&gt;0,"Gain",IF(R142&lt;0,"Loss","Neutral"))</x:f>
        <x:v>Gain</x:v>
      </x:c>
    </x:row>
    <x:row r="143">
      <x:c r="A143" t="n">
        <x:v>142</x:v>
      </x:c>
      <x:c r="B143" s="12" t="n">
        <x:v>46160</x:v>
      </x:c>
      <x:c r="C143" t="str">
        <x:v>May 18</x:v>
      </x:c>
      <x:c r="D143" t="n">
        <x:v>13</x:v>
      </x:c>
      <x:c r="E143" t="n">
        <x:v>7</x:v>
      </x:c>
      <x:c r="F143" s="14" t="n">
        <x:v>6</x:v>
      </x:c>
      <x:c r="G143" t="str">
        <x:v>2w ago</x:v>
      </x:c>
      <x:c r="H143" t="str">
        <x:v>Competitive</x:v>
      </x:c>
      <x:c r="I143" t="str">
        <x:v>Convoy</x:v>
      </x:c>
      <x:c r="J143" t="str">
        <x:v>Spider-Islands</x:v>
      </x:c>
      <x:c r="K143" t="str">
        <x:v>Captain America</x:v>
      </x:c>
      <x:c r="L143" t="str">
        <x:v>Win</x:v>
      </x:c>
      <x:c r="M143" t="str"/>
      <x:c r="N143" t="n">
        <x:v>3</x:v>
      </x:c>
      <x:c r="O143" t="n">
        <x:v>2</x:v>
      </x:c>
      <x:c r="P143" t="str">
        <x:v>Diamond II</x:v>
      </x:c>
      <x:c r="Q143" t="n">
        <x:v>4324</x:v>
      </x:c>
      <x:c r="R143" s="14" t="n">
        <x:v>22</x:v>
      </x:c>
      <x:c r="S143" t="n">
        <x:v>23</x:v>
      </x:c>
      <x:c r="T143" t="n">
        <x:v>10</x:v>
      </x:c>
      <x:c r="U143" t="n">
        <x:v>5</x:v>
      </x:c>
      <x:c r="V143" s="16" t="n">
        <x:v>2.8</x:v>
      </x:c>
      <x:c r="W143" t="str">
        <x:v>Parsed from Tracker.gg MHTML/PDF export; competitive rows only.</x:v>
      </x:c>
      <x:c r="X143" t="n">
        <x:f>IF(L143="Win",1,0)</x:f>
        <x:v>1</x:v>
      </x:c>
      <x:c r="Y143" s="14" t="n">
        <x:f>IF(L143="Loss",1,0)</x:f>
        <x:v>0</x:v>
      </x:c>
      <x:c r="Z143" t="n">
        <x:f>IF(L143="Draw/Unknown",1,0)</x:f>
        <x:v>0</x:v>
      </x:c>
      <x:c r="AA143" s="16" t="n">
        <x:f>IF(OR(N143="",O143=""),"",N143-O143)</x:f>
        <x:v>1</x:v>
      </x:c>
      <x:c r="AB143" s="16" t="n">
        <x:f>IF(T143=0,S143+U143,(S143+U143)/T143)</x:f>
        <x:v>2.8</x:v>
      </x:c>
      <x:c r="AC143" t="n">
        <x:f>S143+U143</x:f>
        <x:v>28</x:v>
      </x:c>
      <x:c r="AD143" t="n">
        <x:f>IF(T143=0,1,0)</x:f>
        <x:v>0</x:v>
      </x:c>
      <x:c r="AE143" t="str">
        <x:f>IF(R143&gt;0,"Gain",IF(R143&lt;0,"Loss","Neutral"))</x:f>
        <x:v>Gain</x:v>
      </x:c>
    </x:row>
    <x:row r="144">
      <x:c r="A144" t="n">
        <x:v>143</x:v>
      </x:c>
      <x:c r="B144" s="12" t="n">
        <x:v>46160</x:v>
      </x:c>
      <x:c r="C144" t="str">
        <x:v>May 18</x:v>
      </x:c>
      <x:c r="D144" t="n">
        <x:v>13</x:v>
      </x:c>
      <x:c r="E144" t="n">
        <x:v>7</x:v>
      </x:c>
      <x:c r="F144" s="14" t="n">
        <x:v>6</x:v>
      </x:c>
      <x:c r="G144" t="str">
        <x:v>2w ago</x:v>
      </x:c>
      <x:c r="H144" t="str">
        <x:v>Competitive</x:v>
      </x:c>
      <x:c r="I144" t="str">
        <x:v>Convergence</x:v>
      </x:c>
      <x:c r="J144" t="str">
        <x:v>Unknown / not captured</x:v>
      </x:c>
      <x:c r="K144" t="str">
        <x:v>Rogue</x:v>
      </x:c>
      <x:c r="L144" t="str">
        <x:v>Win</x:v>
      </x:c>
      <x:c r="M144" t="str"/>
      <x:c r="N144" t="n">
        <x:v>1</x:v>
      </x:c>
      <x:c r="O144" t="n">
        <x:v>0</x:v>
      </x:c>
      <x:c r="P144" t="str">
        <x:v>Diamond II</x:v>
      </x:c>
      <x:c r="Q144" t="n">
        <x:v>4301</x:v>
      </x:c>
      <x:c r="R144" s="14" t="n">
        <x:v>20</x:v>
      </x:c>
      <x:c r="S144" t="n">
        <x:v>26</x:v>
      </x:c>
      <x:c r="T144" t="n">
        <x:v>10</x:v>
      </x:c>
      <x:c r="U144" t="n">
        <x:v>5</x:v>
      </x:c>
      <x:c r="V144" s="16" t="n">
        <x:v>3.1</x:v>
      </x:c>
      <x:c r="W144" t="str">
        <x:v>Parsed from Tracker.gg MHTML/PDF export; competitive rows only.</x:v>
      </x:c>
      <x:c r="X144" t="n">
        <x:f>IF(L144="Win",1,0)</x:f>
        <x:v>1</x:v>
      </x:c>
      <x:c r="Y144" s="14" t="n">
        <x:f>IF(L144="Loss",1,0)</x:f>
        <x:v>0</x:v>
      </x:c>
      <x:c r="Z144" t="n">
        <x:f>IF(L144="Draw/Unknown",1,0)</x:f>
        <x:v>0</x:v>
      </x:c>
      <x:c r="AA144" s="16" t="str">
        <x:f>IF(OR(N144="",O144=""),"",N144-O144)</x:f>
      </x:c>
      <x:c r="AB144" s="16" t="n">
        <x:f>IF(T144=0,S144+U144,(S144+U144)/T144)</x:f>
        <x:v>3.1</x:v>
      </x:c>
      <x:c r="AC144" t="n">
        <x:f>S144+U144</x:f>
        <x:v>31</x:v>
      </x:c>
      <x:c r="AD144" t="n">
        <x:f>IF(T144=0,1,0)</x:f>
        <x:v>0</x:v>
      </x:c>
      <x:c r="AE144" t="str">
        <x:f>IF(R144&gt;0,"Gain",IF(R144&lt;0,"Loss","Neutral"))</x:f>
        <x:v>Gain</x:v>
      </x:c>
    </x:row>
    <x:row r="145">
      <x:c r="A145" t="n">
        <x:v>144</x:v>
      </x:c>
      <x:c r="B145" s="12" t="n">
        <x:v>46160</x:v>
      </x:c>
      <x:c r="C145" t="str">
        <x:v>May 18</x:v>
      </x:c>
      <x:c r="D145" t="n">
        <x:v>13</x:v>
      </x:c>
      <x:c r="E145" t="n">
        <x:v>7</x:v>
      </x:c>
      <x:c r="F145" s="14" t="n">
        <x:v>6</x:v>
      </x:c>
      <x:c r="G145" t="str">
        <x:v>2w ago</x:v>
      </x:c>
      <x:c r="H145" t="str">
        <x:v>Competitive</x:v>
      </x:c>
      <x:c r="I145" t="str">
        <x:v>Convoy</x:v>
      </x:c>
      <x:c r="J145" t="str">
        <x:v>Arakko</x:v>
      </x:c>
      <x:c r="K145" t="str">
        <x:v>Rogue</x:v>
      </x:c>
      <x:c r="L145" t="str">
        <x:v>Win</x:v>
      </x:c>
      <x:c r="M145" t="str"/>
      <x:c r="N145" t="n">
        <x:v>1</x:v>
      </x:c>
      <x:c r="O145" t="n">
        <x:v>0</x:v>
      </x:c>
      <x:c r="P145" t="str">
        <x:v>Diamond III</x:v>
      </x:c>
      <x:c r="Q145" t="n">
        <x:v>4280</x:v>
      </x:c>
      <x:c r="R145" s="14" t="n">
        <x:v>26</x:v>
      </x:c>
      <x:c r="S145" t="n">
        <x:v>8</x:v>
      </x:c>
      <x:c r="T145" t="n">
        <x:v>1</x:v>
      </x:c>
      <x:c r="U145" t="n">
        <x:v>3</x:v>
      </x:c>
      <x:c r="V145" s="16" t="n">
        <x:v>11</x:v>
      </x:c>
      <x:c r="W145" t="str">
        <x:v>Parsed from Tracker.gg MHTML/PDF export; competitive rows only.</x:v>
      </x:c>
      <x:c r="X145" t="n">
        <x:f>IF(L145="Win",1,0)</x:f>
        <x:v>1</x:v>
      </x:c>
      <x:c r="Y145" s="14" t="n">
        <x:f>IF(L145="Loss",1,0)</x:f>
        <x:v>0</x:v>
      </x:c>
      <x:c r="Z145" t="n">
        <x:f>IF(L145="Draw/Unknown",1,0)</x:f>
        <x:v>0</x:v>
      </x:c>
      <x:c r="AA145" s="16" t="str">
        <x:f>IF(OR(N145="",O145=""),"",N145-O145)</x:f>
      </x:c>
      <x:c r="AB145" s="16" t="n">
        <x:f>IF(T145=0,S145+U145,(S145+U145)/T145)</x:f>
        <x:v>11</x:v>
      </x:c>
      <x:c r="AC145" t="n">
        <x:f>S145+U145</x:f>
        <x:v>11</x:v>
      </x:c>
      <x:c r="AD145" t="n">
        <x:f>IF(T145=0,1,0)</x:f>
        <x:v>0</x:v>
      </x:c>
      <x:c r="AE145" t="str">
        <x:f>IF(R145&gt;0,"Gain",IF(R145&lt;0,"Loss","Neutral"))</x:f>
        <x:v>Gain</x:v>
      </x:c>
    </x:row>
    <x:row r="146">
      <x:c r="A146" t="n">
        <x:v>145</x:v>
      </x:c>
      <x:c r="B146" s="12" t="n">
        <x:v>46160</x:v>
      </x:c>
      <x:c r="C146" t="str">
        <x:v>May 18</x:v>
      </x:c>
      <x:c r="D146" t="n">
        <x:v>13</x:v>
      </x:c>
      <x:c r="E146" t="n">
        <x:v>7</x:v>
      </x:c>
      <x:c r="F146" s="14" t="n">
        <x:v>6</x:v>
      </x:c>
      <x:c r="G146" t="str">
        <x:v>2w ago</x:v>
      </x:c>
      <x:c r="H146" t="str">
        <x:v>Competitive</x:v>
      </x:c>
      <x:c r="I146" t="str">
        <x:v>Convoy</x:v>
      </x:c>
      <x:c r="J146" t="str">
        <x:v>Midtown</x:v>
      </x:c>
      <x:c r="K146" t="str">
        <x:v>Cloak &amp; Dagger</x:v>
      </x:c>
      <x:c r="L146" t="str">
        <x:v>Loss</x:v>
      </x:c>
      <x:c r="M146" t="str"/>
      <x:c r="N146" t="n">
        <x:v>3</x:v>
      </x:c>
      <x:c r="O146" t="n">
        <x:v>2</x:v>
      </x:c>
      <x:c r="P146" t="str">
        <x:v>Diamond III</x:v>
      </x:c>
      <x:c r="Q146" t="n">
        <x:v>4254</x:v>
      </x:c>
      <x:c r="R146" s="14" t="n">
        <x:v>-21</x:v>
      </x:c>
      <x:c r="S146" t="n">
        <x:v>26</x:v>
      </x:c>
      <x:c r="T146" t="n">
        <x:v>8</x:v>
      </x:c>
      <x:c r="U146" t="n">
        <x:v>53</x:v>
      </x:c>
      <x:c r="V146" s="16" t="n">
        <x:v>9.88</x:v>
      </x:c>
      <x:c r="W146" t="str">
        <x:v>Parsed from Tracker.gg MHTML/PDF export; competitive rows only.</x:v>
      </x:c>
      <x:c r="X146" t="n">
        <x:f>IF(L146="Win",1,0)</x:f>
        <x:v>0</x:v>
      </x:c>
      <x:c r="Y146" s="14" t="n">
        <x:f>IF(L146="Loss",1,0)</x:f>
        <x:v>1</x:v>
      </x:c>
      <x:c r="Z146" t="n">
        <x:f>IF(L146="Draw/Unknown",1,0)</x:f>
        <x:v>0</x:v>
      </x:c>
      <x:c r="AA146" s="16" t="n">
        <x:f>IF(OR(N146="",O146=""),"",N146-O146)</x:f>
        <x:v>1</x:v>
      </x:c>
      <x:c r="AB146" s="16" t="n">
        <x:f>IF(T146=0,S146+U146,(S146+U146)/T146)</x:f>
        <x:v>9.875</x:v>
      </x:c>
      <x:c r="AC146" t="n">
        <x:f>S146+U146</x:f>
        <x:v>79</x:v>
      </x:c>
      <x:c r="AD146" t="n">
        <x:f>IF(T146=0,1,0)</x:f>
        <x:v>0</x:v>
      </x:c>
      <x:c r="AE146" t="str">
        <x:f>IF(R146&gt;0,"Gain",IF(R146&lt;0,"Loss","Neutral"))</x:f>
        <x:v>Loss</x:v>
      </x:c>
    </x:row>
    <x:row r="147">
      <x:c r="A147" t="n">
        <x:v>146</x:v>
      </x:c>
      <x:c r="B147" s="12" t="n">
        <x:v>46160</x:v>
      </x:c>
      <x:c r="C147" t="str">
        <x:v>May 18</x:v>
      </x:c>
      <x:c r="D147" t="n">
        <x:v>13</x:v>
      </x:c>
      <x:c r="E147" t="n">
        <x:v>7</x:v>
      </x:c>
      <x:c r="F147" s="14" t="n">
        <x:v>6</x:v>
      </x:c>
      <x:c r="G147" t="str">
        <x:v>2w ago</x:v>
      </x:c>
      <x:c r="H147" t="str">
        <x:v>Competitive</x:v>
      </x:c>
      <x:c r="I147" t="str">
        <x:v>Convergence</x:v>
      </x:c>
      <x:c r="J147" t="str">
        <x:v>Hall Of Djalia</x:v>
      </x:c>
      <x:c r="K147" t="str">
        <x:v>Bruce Banner</x:v>
      </x:c>
      <x:c r="L147" t="str">
        <x:v>Win</x:v>
      </x:c>
      <x:c r="M147" t="str"/>
      <x:c r="N147" t="n">
        <x:v>2</x:v>
      </x:c>
      <x:c r="O147" t="n">
        <x:v>0</x:v>
      </x:c>
      <x:c r="P147" t="str">
        <x:v>Diamond III</x:v>
      </x:c>
      <x:c r="Q147" t="n">
        <x:v>4275</x:v>
      </x:c>
      <x:c r="R147" s="14" t="n">
        <x:v>23</x:v>
      </x:c>
      <x:c r="S147" t="n">
        <x:v>31</x:v>
      </x:c>
      <x:c r="T147" t="n">
        <x:v>8</x:v>
      </x:c>
      <x:c r="U147" t="n">
        <x:v>6</x:v>
      </x:c>
      <x:c r="V147" s="16" t="n">
        <x:v>4.62</x:v>
      </x:c>
      <x:c r="W147" t="str">
        <x:v>Parsed from Tracker.gg MHTML/PDF export; competitive rows only.</x:v>
      </x:c>
      <x:c r="X147" t="n">
        <x:f>IF(L147="Win",1,0)</x:f>
        <x:v>1</x:v>
      </x:c>
      <x:c r="Y147" s="14" t="n">
        <x:f>IF(L147="Loss",1,0)</x:f>
        <x:v>0</x:v>
      </x:c>
      <x:c r="Z147" t="n">
        <x:f>IF(L147="Draw/Unknown",1,0)</x:f>
        <x:v>0</x:v>
      </x:c>
      <x:c r="AA147" s="16" t="str">
        <x:f>IF(OR(N147="",O147=""),"",N147-O147)</x:f>
      </x:c>
      <x:c r="AB147" s="16" t="n">
        <x:f>IF(T147=0,S147+U147,(S147+U147)/T147)</x:f>
        <x:v>4.625</x:v>
      </x:c>
      <x:c r="AC147" t="n">
        <x:f>S147+U147</x:f>
        <x:v>37</x:v>
      </x:c>
      <x:c r="AD147" t="n">
        <x:f>IF(T147=0,1,0)</x:f>
        <x:v>0</x:v>
      </x:c>
      <x:c r="AE147" t="str">
        <x:f>IF(R147&gt;0,"Gain",IF(R147&lt;0,"Loss","Neutral"))</x:f>
        <x:v>Gain</x:v>
      </x:c>
    </x:row>
    <x:row r="148">
      <x:c r="A148" t="n">
        <x:v>147</x:v>
      </x:c>
      <x:c r="B148" s="12" t="n">
        <x:v>46159</x:v>
      </x:c>
      <x:c r="C148" t="str">
        <x:v>May 17</x:v>
      </x:c>
      <x:c r="D148" t="n">
        <x:v>11</x:v>
      </x:c>
      <x:c r="E148" t="n">
        <x:v>6</x:v>
      </x:c>
      <x:c r="F148" s="14" t="n">
        <x:v>5</x:v>
      </x:c>
      <x:c r="G148" t="str">
        <x:v>2w ago</x:v>
      </x:c>
      <x:c r="H148" t="str">
        <x:v>Competitive</x:v>
      </x:c>
      <x:c r="I148" t="str">
        <x:v>Convergence</x:v>
      </x:c>
      <x:c r="J148" t="str">
        <x:v>Shin-Shibuya</x:v>
      </x:c>
      <x:c r="K148" t="str">
        <x:v>Diamond III</x:v>
      </x:c>
      <x:c r="L148" t="str">
        <x:v>Win</x:v>
      </x:c>
      <x:c r="M148" t="str"/>
      <x:c r="N148" t="n">
        <x:v>1</x:v>
      </x:c>
      <x:c r="O148" t="n">
        <x:v>0</x:v>
      </x:c>
      <x:c r="P148"/>
      <x:c r="Q148"/>
      <x:c r="R148" s="14"/>
      <x:c r="S148" t="n">
        <x:v>16</x:v>
      </x:c>
      <x:c r="T148" t="n">
        <x:v>4</x:v>
      </x:c>
      <x:c r="U148" t="n">
        <x:v>4</x:v>
      </x:c>
      <x:c r="V148" s="16" t="n">
        <x:v>5</x:v>
      </x:c>
      <x:c r="W148" t="str">
        <x:v>Parsed from Tracker.gg MHTML/PDF export; competitive rows only.</x:v>
      </x:c>
      <x:c r="X148" t="n">
        <x:f>IF(L148="Win",1,0)</x:f>
        <x:v>1</x:v>
      </x:c>
      <x:c r="Y148" s="14" t="n">
        <x:f>IF(L148="Loss",1,0)</x:f>
        <x:v>0</x:v>
      </x:c>
      <x:c r="Z148" t="n">
        <x:f>IF(L148="Draw/Unknown",1,0)</x:f>
        <x:v>0</x:v>
      </x:c>
      <x:c r="AA148" s="16" t="str">
        <x:f>IF(OR(N148="",O148=""),"",N148-O148)</x:f>
      </x:c>
      <x:c r="AB148" s="16" t="n">
        <x:f>IF(T148=0,S148+U148,(S148+U148)/T148)</x:f>
        <x:v>5</x:v>
      </x:c>
      <x:c r="AC148" t="n">
        <x:f>S148+U148</x:f>
        <x:v>20</x:v>
      </x:c>
      <x:c r="AD148" t="n">
        <x:f>IF(T148=0,1,0)</x:f>
        <x:v>0</x:v>
      </x:c>
      <x:c r="AE148" t="str">
        <x:f>IF(R148&gt;0,"Gain",IF(R148&lt;0,"Loss","Neutral"))</x:f>
        <x:v>Neutral</x:v>
      </x:c>
    </x:row>
    <x:row r="149">
      <x:c r="A149" t="n">
        <x:v>148</x:v>
      </x:c>
      <x:c r="B149" s="12" t="n">
        <x:v>46159</x:v>
      </x:c>
      <x:c r="C149" t="str">
        <x:v>May 17</x:v>
      </x:c>
      <x:c r="D149" t="n">
        <x:v>11</x:v>
      </x:c>
      <x:c r="E149" t="n">
        <x:v>6</x:v>
      </x:c>
      <x:c r="F149" s="14" t="n">
        <x:v>5</x:v>
      </x:c>
      <x:c r="G149" t="str">
        <x:v>2w ago</x:v>
      </x:c>
      <x:c r="H149" t="str">
        <x:v>Competitive</x:v>
      </x:c>
      <x:c r="I149" t="str">
        <x:v>Convoy</x:v>
      </x:c>
      <x:c r="J149" t="str">
        <x:v>Arakko</x:v>
      </x:c>
      <x:c r="K149" t="str">
        <x:v>Groot</x:v>
      </x:c>
      <x:c r="L149" t="str">
        <x:v>Loss</x:v>
      </x:c>
      <x:c r="M149" t="str">
        <x:v>SVP</x:v>
      </x:c>
      <x:c r="N149" t="n">
        <x:v>3</x:v>
      </x:c>
      <x:c r="O149" t="n">
        <x:v>0</x:v>
      </x:c>
      <x:c r="P149" t="str">
        <x:v>Diamond III</x:v>
      </x:c>
      <x:c r="Q149" t="n">
        <x:v>4227</x:v>
      </x:c>
      <x:c r="R149" s="14" t="n">
        <x:v>-7</x:v>
      </x:c>
      <x:c r="S149" t="n">
        <x:v>10</x:v>
      </x:c>
      <x:c r="T149" t="n">
        <x:v>14</x:v>
      </x:c>
      <x:c r="U149" t="n">
        <x:v>4</x:v>
      </x:c>
      <x:c r="V149" s="16" t="n">
        <x:v>1</x:v>
      </x:c>
      <x:c r="W149" t="str">
        <x:v>Parsed from Tracker.gg MHTML/PDF export; competitive rows only.</x:v>
      </x:c>
      <x:c r="X149" t="n">
        <x:f>IF(L149="Win",1,0)</x:f>
        <x:v>0</x:v>
      </x:c>
      <x:c r="Y149" s="14" t="n">
        <x:f>IF(L149="Loss",1,0)</x:f>
        <x:v>1</x:v>
      </x:c>
      <x:c r="Z149" t="n">
        <x:f>IF(L149="Draw/Unknown",1,0)</x:f>
        <x:v>0</x:v>
      </x:c>
      <x:c r="AA149" s="16" t="str">
        <x:f>IF(OR(N149="",O149=""),"",N149-O149)</x:f>
      </x:c>
      <x:c r="AB149" s="16" t="n">
        <x:f>IF(T149=0,S149+U149,(S149+U149)/T149)</x:f>
        <x:v>1</x:v>
      </x:c>
      <x:c r="AC149" t="n">
        <x:f>S149+U149</x:f>
        <x:v>14</x:v>
      </x:c>
      <x:c r="AD149" t="n">
        <x:f>IF(T149=0,1,0)</x:f>
        <x:v>0</x:v>
      </x:c>
      <x:c r="AE149" t="str">
        <x:f>IF(R149&gt;0,"Gain",IF(R149&lt;0,"Loss","Neutral"))</x:f>
        <x:v>Loss</x:v>
      </x:c>
    </x:row>
    <x:row r="150">
      <x:c r="A150" t="n">
        <x:v>149</x:v>
      </x:c>
      <x:c r="B150" s="12" t="n">
        <x:v>46159</x:v>
      </x:c>
      <x:c r="C150" t="str">
        <x:v>May 17</x:v>
      </x:c>
      <x:c r="D150" t="n">
        <x:v>11</x:v>
      </x:c>
      <x:c r="E150" t="n">
        <x:v>6</x:v>
      </x:c>
      <x:c r="F150" s="14" t="n">
        <x:v>5</x:v>
      </x:c>
      <x:c r="G150" t="str">
        <x:v>2w ago</x:v>
      </x:c>
      <x:c r="H150" t="str">
        <x:v>Competitive</x:v>
      </x:c>
      <x:c r="I150" t="str">
        <x:v>Convoy</x:v>
      </x:c>
      <x:c r="J150" t="str">
        <x:v>Yggdrasill Path</x:v>
      </x:c>
      <x:c r="K150" t="str">
        <x:v>Squirrel Girl</x:v>
      </x:c>
      <x:c r="L150" t="str">
        <x:v>Loss</x:v>
      </x:c>
      <x:c r="M150" t="str"/>
      <x:c r="N150" t="n">
        <x:v>3</x:v>
      </x:c>
      <x:c r="O150" t="n">
        <x:v>2</x:v>
      </x:c>
      <x:c r="P150" t="str">
        <x:v>Diamond III</x:v>
      </x:c>
      <x:c r="Q150" t="n">
        <x:v>4233</x:v>
      </x:c>
      <x:c r="R150" s="14" t="n">
        <x:v>-19</x:v>
      </x:c>
      <x:c r="S150" t="n">
        <x:v>26</x:v>
      </x:c>
      <x:c r="T150" t="n">
        <x:v>13</x:v>
      </x:c>
      <x:c r="U150" t="n">
        <x:v>5</x:v>
      </x:c>
      <x:c r="V150" s="16" t="n">
        <x:v>2.38</x:v>
      </x:c>
      <x:c r="W150" t="str">
        <x:v>Parsed from Tracker.gg MHTML/PDF export; competitive rows only.</x:v>
      </x:c>
      <x:c r="X150" t="n">
        <x:f>IF(L150="Win",1,0)</x:f>
        <x:v>0</x:v>
      </x:c>
      <x:c r="Y150" s="14" t="n">
        <x:f>IF(L150="Loss",1,0)</x:f>
        <x:v>1</x:v>
      </x:c>
      <x:c r="Z150" t="n">
        <x:f>IF(L150="Draw/Unknown",1,0)</x:f>
        <x:v>0</x:v>
      </x:c>
      <x:c r="AA150" s="16" t="n">
        <x:f>IF(OR(N150="",O150=""),"",N150-O150)</x:f>
        <x:v>1</x:v>
      </x:c>
      <x:c r="AB150" s="16" t="n">
        <x:f>IF(T150=0,S150+U150,(S150+U150)/T150)</x:f>
        <x:v>2.3846153846153846</x:v>
      </x:c>
      <x:c r="AC150" t="n">
        <x:f>S150+U150</x:f>
        <x:v>31</x:v>
      </x:c>
      <x:c r="AD150" t="n">
        <x:f>IF(T150=0,1,0)</x:f>
        <x:v>0</x:v>
      </x:c>
      <x:c r="AE150" t="str">
        <x:f>IF(R150&gt;0,"Gain",IF(R150&lt;0,"Loss","Neutral"))</x:f>
        <x:v>Loss</x:v>
      </x:c>
    </x:row>
    <x:row r="151">
      <x:c r="A151" t="n">
        <x:v>150</x:v>
      </x:c>
      <x:c r="B151" s="12" t="n">
        <x:v>46159</x:v>
      </x:c>
      <x:c r="C151" t="str">
        <x:v>May 17</x:v>
      </x:c>
      <x:c r="D151" t="n">
        <x:v>11</x:v>
      </x:c>
      <x:c r="E151" t="n">
        <x:v>6</x:v>
      </x:c>
      <x:c r="F151" s="14" t="n">
        <x:v>5</x:v>
      </x:c>
      <x:c r="G151" t="str">
        <x:v>2w ago</x:v>
      </x:c>
      <x:c r="H151" t="str">
        <x:v>Competitive</x:v>
      </x:c>
      <x:c r="I151" t="str">
        <x:v>Convoy</x:v>
      </x:c>
      <x:c r="J151" t="str">
        <x:v>Midtown</x:v>
      </x:c>
      <x:c r="K151" t="str">
        <x:v>Peni Parker</x:v>
      </x:c>
      <x:c r="L151" t="str">
        <x:v>Loss</x:v>
      </x:c>
      <x:c r="M151" t="str"/>
      <x:c r="N151" t="n">
        <x:v>3</x:v>
      </x:c>
      <x:c r="O151" t="n">
        <x:v>1</x:v>
      </x:c>
      <x:c r="P151" t="str">
        <x:v>Diamond III</x:v>
      </x:c>
      <x:c r="Q151" t="n">
        <x:v>4252</x:v>
      </x:c>
      <x:c r="R151" s="14" t="n">
        <x:v>-21</x:v>
      </x:c>
      <x:c r="S151" t="n">
        <x:v>17</x:v>
      </x:c>
      <x:c r="T151" t="n">
        <x:v>11</x:v>
      </x:c>
      <x:c r="U151" t="n">
        <x:v>11</x:v>
      </x:c>
      <x:c r="V151" s="16" t="n">
        <x:v>2.55</x:v>
      </x:c>
      <x:c r="W151" t="str">
        <x:v>Parsed from Tracker.gg MHTML/PDF export; competitive rows only.</x:v>
      </x:c>
      <x:c r="X151" t="n">
        <x:f>IF(L151="Win",1,0)</x:f>
        <x:v>0</x:v>
      </x:c>
      <x:c r="Y151" s="14" t="n">
        <x:f>IF(L151="Loss",1,0)</x:f>
        <x:v>1</x:v>
      </x:c>
      <x:c r="Z151" t="n">
        <x:f>IF(L151="Draw/Unknown",1,0)</x:f>
        <x:v>0</x:v>
      </x:c>
      <x:c r="AA151" s="16" t="n">
        <x:f>IF(OR(N151="",O151=""),"",N151-O151)</x:f>
        <x:v>2</x:v>
      </x:c>
      <x:c r="AB151" s="16" t="n">
        <x:f>IF(T151=0,S151+U151,(S151+U151)/T151)</x:f>
        <x:v>2.5454545454545454</x:v>
      </x:c>
      <x:c r="AC151" t="n">
        <x:f>S151+U151</x:f>
        <x:v>28</x:v>
      </x:c>
      <x:c r="AD151" t="n">
        <x:f>IF(T151=0,1,0)</x:f>
        <x:v>0</x:v>
      </x:c>
      <x:c r="AE151" t="str">
        <x:f>IF(R151&gt;0,"Gain",IF(R151&lt;0,"Loss","Neutral"))</x:f>
        <x:v>Loss</x:v>
      </x:c>
    </x:row>
    <x:row r="152">
      <x:c r="A152" t="n">
        <x:v>151</x:v>
      </x:c>
      <x:c r="B152" s="12" t="n">
        <x:v>46159</x:v>
      </x:c>
      <x:c r="C152" t="str">
        <x:v>May 17</x:v>
      </x:c>
      <x:c r="D152" t="n">
        <x:v>11</x:v>
      </x:c>
      <x:c r="E152" t="n">
        <x:v>6</x:v>
      </x:c>
      <x:c r="F152" s="14" t="n">
        <x:v>5</x:v>
      </x:c>
      <x:c r="G152" t="str">
        <x:v>2w ago</x:v>
      </x:c>
      <x:c r="H152" t="str">
        <x:v>Competitive</x:v>
      </x:c>
      <x:c r="I152" t="str">
        <x:v>Convergence</x:v>
      </x:c>
      <x:c r="J152" t="str">
        <x:v>Symbiotic Surface</x:v>
      </x:c>
      <x:c r="K152" t="str">
        <x:v>Squirrel Girl</x:v>
      </x:c>
      <x:c r="L152" t="str">
        <x:v>Win</x:v>
      </x:c>
      <x:c r="M152" t="str"/>
      <x:c r="N152" t="n">
        <x:v>1</x:v>
      </x:c>
      <x:c r="O152" t="n">
        <x:v>2</x:v>
      </x:c>
      <x:c r="P152" t="str">
        <x:v>Diamond III</x:v>
      </x:c>
      <x:c r="Q152" t="n">
        <x:v>4272</x:v>
      </x:c>
      <x:c r="R152" s="14" t="n">
        <x:v>24</x:v>
      </x:c>
      <x:c r="S152" t="n">
        <x:v>20</x:v>
      </x:c>
      <x:c r="T152" t="n">
        <x:v>7</x:v>
      </x:c>
      <x:c r="U152" t="n">
        <x:v>18</x:v>
      </x:c>
      <x:c r="V152" s="16" t="n">
        <x:v>5.43</x:v>
      </x:c>
      <x:c r="W152" t="str">
        <x:v>Parsed from Tracker.gg MHTML/PDF export; competitive rows only.</x:v>
      </x:c>
      <x:c r="X152" t="n">
        <x:f>IF(L152="Win",1,0)</x:f>
        <x:v>1</x:v>
      </x:c>
      <x:c r="Y152" s="14" t="n">
        <x:f>IF(L152="Loss",1,0)</x:f>
        <x:v>0</x:v>
      </x:c>
      <x:c r="Z152" t="n">
        <x:f>IF(L152="Draw/Unknown",1,0)</x:f>
        <x:v>0</x:v>
      </x:c>
      <x:c r="AA152" s="16" t="n">
        <x:f>IF(OR(N152="",O152=""),"",N152-O152)</x:f>
        <x:v>-1</x:v>
      </x:c>
      <x:c r="AB152" s="16" t="n">
        <x:f>IF(T152=0,S152+U152,(S152+U152)/T152)</x:f>
        <x:v>5.428571428571429</x:v>
      </x:c>
      <x:c r="AC152" t="n">
        <x:f>S152+U152</x:f>
        <x:v>38</x:v>
      </x:c>
      <x:c r="AD152" t="n">
        <x:f>IF(T152=0,1,0)</x:f>
        <x:v>0</x:v>
      </x:c>
      <x:c r="AE152" t="str">
        <x:f>IF(R152&gt;0,"Gain",IF(R152&lt;0,"Loss","Neutral"))</x:f>
        <x:v>Gain</x:v>
      </x:c>
    </x:row>
    <x:row r="153">
      <x:c r="A153" t="n">
        <x:v>152</x:v>
      </x:c>
      <x:c r="B153" s="12" t="n">
        <x:v>46158</x:v>
      </x:c>
      <x:c r="C153" t="str">
        <x:v>May 16</x:v>
      </x:c>
      <x:c r="D153" t="n">
        <x:v>21</x:v>
      </x:c>
      <x:c r="E153" t="n">
        <x:v>10</x:v>
      </x:c>
      <x:c r="F153" s="14" t="n">
        <x:v>11</x:v>
      </x:c>
      <x:c r="G153" t="str">
        <x:v>2w ago</x:v>
      </x:c>
      <x:c r="H153" t="str">
        <x:v>Competitive</x:v>
      </x:c>
      <x:c r="I153" t="str">
        <x:v>Convoy</x:v>
      </x:c>
      <x:c r="J153" t="str">
        <x:v>Museum of Contemplation</x:v>
      </x:c>
      <x:c r="K153" t="str">
        <x:v>Cloak &amp; Dagger</x:v>
      </x:c>
      <x:c r="L153" t="str">
        <x:v>Loss</x:v>
      </x:c>
      <x:c r="M153" t="str"/>
      <x:c r="N153" t="n">
        <x:v>1</x:v>
      </x:c>
      <x:c r="O153" t="n">
        <x:v>2</x:v>
      </x:c>
      <x:c r="P153" t="str">
        <x:v>Diamond III</x:v>
      </x:c>
      <x:c r="Q153" t="n">
        <x:v>4248</x:v>
      </x:c>
      <x:c r="R153" s="14" t="n">
        <x:v>-22</x:v>
      </x:c>
      <x:c r="S153" t="n">
        <x:v>9</x:v>
      </x:c>
      <x:c r="T153" t="n">
        <x:v>10</x:v>
      </x:c>
      <x:c r="U153" t="n">
        <x:v>12</x:v>
      </x:c>
      <x:c r="V153" s="16" t="n">
        <x:v>2.1</x:v>
      </x:c>
      <x:c r="W153" t="str">
        <x:v>Parsed from Tracker.gg MHTML/PDF export; competitive rows only.</x:v>
      </x:c>
      <x:c r="X153" t="n">
        <x:f>IF(L153="Win",1,0)</x:f>
        <x:v>0</x:v>
      </x:c>
      <x:c r="Y153" s="14" t="n">
        <x:f>IF(L153="Loss",1,0)</x:f>
        <x:v>1</x:v>
      </x:c>
      <x:c r="Z153" t="n">
        <x:f>IF(L153="Draw/Unknown",1,0)</x:f>
        <x:v>0</x:v>
      </x:c>
      <x:c r="AA153" s="16" t="n">
        <x:f>IF(OR(N153="",O153=""),"",N153-O153)</x:f>
        <x:v>-1</x:v>
      </x:c>
      <x:c r="AB153" s="16" t="n">
        <x:f>IF(T153=0,S153+U153,(S153+U153)/T153)</x:f>
        <x:v>2.1</x:v>
      </x:c>
      <x:c r="AC153" t="n">
        <x:f>S153+U153</x:f>
        <x:v>21</x:v>
      </x:c>
      <x:c r="AD153" t="n">
        <x:f>IF(T153=0,1,0)</x:f>
        <x:v>0</x:v>
      </x:c>
      <x:c r="AE153" t="str">
        <x:f>IF(R153&gt;0,"Gain",IF(R153&lt;0,"Loss","Neutral"))</x:f>
        <x:v>Loss</x:v>
      </x:c>
    </x:row>
    <x:row r="154">
      <x:c r="A154" t="n">
        <x:v>153</x:v>
      </x:c>
      <x:c r="B154" s="12" t="n">
        <x:v>46158</x:v>
      </x:c>
      <x:c r="C154" t="str">
        <x:v>May 16</x:v>
      </x:c>
      <x:c r="D154" t="n">
        <x:v>21</x:v>
      </x:c>
      <x:c r="E154" t="n">
        <x:v>10</x:v>
      </x:c>
      <x:c r="F154" s="14" t="n">
        <x:v>11</x:v>
      </x:c>
      <x:c r="G154" t="str">
        <x:v>2w ago</x:v>
      </x:c>
      <x:c r="H154" t="str">
        <x:v>Competitive</x:v>
      </x:c>
      <x:c r="I154" t="str">
        <x:v>Domination</x:v>
      </x:c>
      <x:c r="J154" t="str">
        <x:v>Birnin T'Challa</x:v>
      </x:c>
      <x:c r="K154" t="str">
        <x:v>Peni Parker</x:v>
      </x:c>
      <x:c r="L154" t="str">
        <x:v>Loss</x:v>
      </x:c>
      <x:c r="M154" t="str"/>
      <x:c r="N154" t="n">
        <x:v>0</x:v>
      </x:c>
      <x:c r="O154" t="n">
        <x:v>2</x:v>
      </x:c>
      <x:c r="P154" t="str">
        <x:v>Diamond III</x:v>
      </x:c>
      <x:c r="Q154" t="n">
        <x:v>4269</x:v>
      </x:c>
      <x:c r="R154" s="14" t="n">
        <x:v>-19</x:v>
      </x:c>
      <x:c r="S154" t="n">
        <x:v>0</x:v>
      </x:c>
      <x:c r="T154" t="n">
        <x:v>6</x:v>
      </x:c>
      <x:c r="U154" t="n">
        <x:v>0</x:v>
      </x:c>
      <x:c r="V154" s="16" t="n">
        <x:v>0</x:v>
      </x:c>
      <x:c r="W154" t="str">
        <x:v>Parsed from Tracker.gg MHTML/PDF export; competitive rows only.</x:v>
      </x:c>
      <x:c r="X154" t="n">
        <x:f>IF(L154="Win",1,0)</x:f>
        <x:v>0</x:v>
      </x:c>
      <x:c r="Y154" s="14" t="n">
        <x:f>IF(L154="Loss",1,0)</x:f>
        <x:v>1</x:v>
      </x:c>
      <x:c r="Z154" t="n">
        <x:f>IF(L154="Draw/Unknown",1,0)</x:f>
        <x:v>0</x:v>
      </x:c>
      <x:c r="AA154" s="16" t="str">
        <x:f>IF(OR(N154="",O154=""),"",N154-O154)</x:f>
      </x:c>
      <x:c r="AB154" s="16" t="n">
        <x:f>IF(T154=0,S154+U154,(S154+U154)/T154)</x:f>
        <x:v>0</x:v>
      </x:c>
      <x:c r="AC154" t="n">
        <x:f>S154+U154</x:f>
        <x:v>0</x:v>
      </x:c>
      <x:c r="AD154" t="n">
        <x:f>IF(T154=0,1,0)</x:f>
        <x:v>0</x:v>
      </x:c>
      <x:c r="AE154" t="str">
        <x:f>IF(R154&gt;0,"Gain",IF(R154&lt;0,"Loss","Neutral"))</x:f>
        <x:v>Loss</x:v>
      </x:c>
    </x:row>
    <x:row r="155">
      <x:c r="A155" t="n">
        <x:v>154</x:v>
      </x:c>
      <x:c r="B155" s="12" t="n">
        <x:v>46158</x:v>
      </x:c>
      <x:c r="C155" t="str">
        <x:v>May 16</x:v>
      </x:c>
      <x:c r="D155" t="n">
        <x:v>21</x:v>
      </x:c>
      <x:c r="E155" t="n">
        <x:v>10</x:v>
      </x:c>
      <x:c r="F155" s="14" t="n">
        <x:v>11</x:v>
      </x:c>
      <x:c r="G155" t="str">
        <x:v>2w ago</x:v>
      </x:c>
      <x:c r="H155" t="str">
        <x:v>Competitive</x:v>
      </x:c>
      <x:c r="I155" t="str">
        <x:v>Convergence</x:v>
      </x:c>
      <x:c r="J155" t="str">
        <x:v>Unknown / not captured</x:v>
      </x:c>
      <x:c r="K155" t="str">
        <x:v>Groot</x:v>
      </x:c>
      <x:c r="L155" t="str">
        <x:v>Win</x:v>
      </x:c>
      <x:c r="M155" t="str"/>
      <x:c r="N155" t="n">
        <x:v>3</x:v>
      </x:c>
      <x:c r="O155" t="n">
        <x:v>2</x:v>
      </x:c>
      <x:c r="P155" t="str">
        <x:v>Diamond III</x:v>
      </x:c>
      <x:c r="Q155" t="n">
        <x:v>4287</x:v>
      </x:c>
      <x:c r="R155" s="14" t="n">
        <x:v>25</x:v>
      </x:c>
      <x:c r="S155" t="n">
        <x:v>29</x:v>
      </x:c>
      <x:c r="T155" t="n">
        <x:v>15</x:v>
      </x:c>
      <x:c r="U155" t="n">
        <x:v>4</x:v>
      </x:c>
      <x:c r="V155" s="16" t="n">
        <x:v>2.2</x:v>
      </x:c>
      <x:c r="W155" t="str">
        <x:v>Parsed from Tracker.gg MHTML/PDF export; competitive rows only.</x:v>
      </x:c>
      <x:c r="X155" t="n">
        <x:f>IF(L155="Win",1,0)</x:f>
        <x:v>1</x:v>
      </x:c>
      <x:c r="Y155" s="14" t="n">
        <x:f>IF(L155="Loss",1,0)</x:f>
        <x:v>0</x:v>
      </x:c>
      <x:c r="Z155" t="n">
        <x:f>IF(L155="Draw/Unknown",1,0)</x:f>
        <x:v>0</x:v>
      </x:c>
      <x:c r="AA155" s="16" t="n">
        <x:f>IF(OR(N155="",O155=""),"",N155-O155)</x:f>
        <x:v>1</x:v>
      </x:c>
      <x:c r="AB155" s="16" t="n">
        <x:f>IF(T155=0,S155+U155,(S155+U155)/T155)</x:f>
        <x:v>2.2</x:v>
      </x:c>
      <x:c r="AC155" t="n">
        <x:f>S155+U155</x:f>
        <x:v>33</x:v>
      </x:c>
      <x:c r="AD155" t="n">
        <x:f>IF(T155=0,1,0)</x:f>
        <x:v>0</x:v>
      </x:c>
      <x:c r="AE155" t="str">
        <x:f>IF(R155&gt;0,"Gain",IF(R155&lt;0,"Loss","Neutral"))</x:f>
        <x:v>Gain</x:v>
      </x:c>
    </x:row>
    <x:row r="156">
      <x:c r="A156" t="n">
        <x:v>155</x:v>
      </x:c>
      <x:c r="B156" s="12" t="n">
        <x:v>46158</x:v>
      </x:c>
      <x:c r="C156" t="str">
        <x:v>May 16</x:v>
      </x:c>
      <x:c r="D156" t="n">
        <x:v>21</x:v>
      </x:c>
      <x:c r="E156" t="n">
        <x:v>10</x:v>
      </x:c>
      <x:c r="F156" s="14" t="n">
        <x:v>11</x:v>
      </x:c>
      <x:c r="G156" t="str">
        <x:v>2w ago</x:v>
      </x:c>
      <x:c r="H156" t="str">
        <x:v>Competitive</x:v>
      </x:c>
      <x:c r="I156" t="str">
        <x:v>Convergence</x:v>
      </x:c>
      <x:c r="J156" t="str">
        <x:v>Central Park</x:v>
      </x:c>
      <x:c r="K156" t="str">
        <x:v>Squirrel Girl</x:v>
      </x:c>
      <x:c r="L156" t="str">
        <x:v>Win</x:v>
      </x:c>
      <x:c r="M156" t="str"/>
      <x:c r="N156" t="n">
        <x:v>2</x:v>
      </x:c>
      <x:c r="O156" t="n">
        <x:v>3</x:v>
      </x:c>
      <x:c r="P156" t="str">
        <x:v>Diamond III</x:v>
      </x:c>
      <x:c r="Q156" t="n">
        <x:v>4262</x:v>
      </x:c>
      <x:c r="R156" s="14" t="n">
        <x:v>25</x:v>
      </x:c>
      <x:c r="S156" t="n">
        <x:v>26</x:v>
      </x:c>
      <x:c r="T156" t="n">
        <x:v>9</x:v>
      </x:c>
      <x:c r="U156" t="n">
        <x:v>1</x:v>
      </x:c>
      <x:c r="V156" s="16" t="n">
        <x:v>3</x:v>
      </x:c>
      <x:c r="W156" t="str">
        <x:v>Parsed from Tracker.gg MHTML/PDF export; competitive rows only.</x:v>
      </x:c>
      <x:c r="X156" t="n">
        <x:f>IF(L156="Win",1,0)</x:f>
        <x:v>1</x:v>
      </x:c>
      <x:c r="Y156" s="14" t="n">
        <x:f>IF(L156="Loss",1,0)</x:f>
        <x:v>0</x:v>
      </x:c>
      <x:c r="Z156" t="n">
        <x:f>IF(L156="Draw/Unknown",1,0)</x:f>
        <x:v>0</x:v>
      </x:c>
      <x:c r="AA156" s="16" t="n">
        <x:f>IF(OR(N156="",O156=""),"",N156-O156)</x:f>
        <x:v>-1</x:v>
      </x:c>
      <x:c r="AB156" s="16" t="n">
        <x:f>IF(T156=0,S156+U156,(S156+U156)/T156)</x:f>
        <x:v>3</x:v>
      </x:c>
      <x:c r="AC156" t="n">
        <x:f>S156+U156</x:f>
        <x:v>27</x:v>
      </x:c>
      <x:c r="AD156" t="n">
        <x:f>IF(T156=0,1,0)</x:f>
        <x:v>0</x:v>
      </x:c>
      <x:c r="AE156" t="str">
        <x:f>IF(R156&gt;0,"Gain",IF(R156&lt;0,"Loss","Neutral"))</x:f>
        <x:v>Gain</x:v>
      </x:c>
    </x:row>
    <x:row r="157">
      <x:c r="A157" t="n">
        <x:v>156</x:v>
      </x:c>
      <x:c r="B157" s="12" t="n">
        <x:v>46158</x:v>
      </x:c>
      <x:c r="C157" t="str">
        <x:v>May 16</x:v>
      </x:c>
      <x:c r="D157" t="n">
        <x:v>21</x:v>
      </x:c>
      <x:c r="E157" t="n">
        <x:v>10</x:v>
      </x:c>
      <x:c r="F157" s="14" t="n">
        <x:v>11</x:v>
      </x:c>
      <x:c r="G157" t="str">
        <x:v>2w ago</x:v>
      </x:c>
      <x:c r="H157" t="str">
        <x:v>Competitive</x:v>
      </x:c>
      <x:c r="I157" t="str">
        <x:v>Domination</x:v>
      </x:c>
      <x:c r="J157" t="str">
        <x:v>Hell's Heaven</x:v>
      </x:c>
      <x:c r="K157" t="str">
        <x:v>Groot</x:v>
      </x:c>
      <x:c r="L157" t="str">
        <x:v>Loss</x:v>
      </x:c>
      <x:c r="M157" t="str"/>
      <x:c r="N157" t="n">
        <x:v>1</x:v>
      </x:c>
      <x:c r="O157" t="n">
        <x:v>2</x:v>
      </x:c>
      <x:c r="P157" t="str">
        <x:v>Diamond III</x:v>
      </x:c>
      <x:c r="Q157" t="n">
        <x:v>4236</x:v>
      </x:c>
      <x:c r="R157" s="14" t="n">
        <x:v>-23</x:v>
      </x:c>
      <x:c r="S157" t="n">
        <x:v>13</x:v>
      </x:c>
      <x:c r="T157" t="n">
        <x:v>13</x:v>
      </x:c>
      <x:c r="U157" t="n">
        <x:v>4</x:v>
      </x:c>
      <x:c r="V157" s="16" t="n">
        <x:v>1.31</x:v>
      </x:c>
      <x:c r="W157" t="str">
        <x:v>Parsed from Tracker.gg MHTML/PDF export; competitive rows only.</x:v>
      </x:c>
      <x:c r="X157" t="n">
        <x:f>IF(L157="Win",1,0)</x:f>
        <x:v>0</x:v>
      </x:c>
      <x:c r="Y157" s="14" t="n">
        <x:f>IF(L157="Loss",1,0)</x:f>
        <x:v>1</x:v>
      </x:c>
      <x:c r="Z157" t="n">
        <x:f>IF(L157="Draw/Unknown",1,0)</x:f>
        <x:v>0</x:v>
      </x:c>
      <x:c r="AA157" s="16" t="n">
        <x:f>IF(OR(N157="",O157=""),"",N157-O157)</x:f>
        <x:v>-1</x:v>
      </x:c>
      <x:c r="AB157" s="16" t="n">
        <x:f>IF(T157=0,S157+U157,(S157+U157)/T157)</x:f>
        <x:v>1.3076923076923077</x:v>
      </x:c>
      <x:c r="AC157" t="n">
        <x:f>S157+U157</x:f>
        <x:v>17</x:v>
      </x:c>
      <x:c r="AD157" t="n">
        <x:f>IF(T157=0,1,0)</x:f>
        <x:v>0</x:v>
      </x:c>
      <x:c r="AE157" t="str">
        <x:f>IF(R157&gt;0,"Gain",IF(R157&lt;0,"Loss","Neutral"))</x:f>
        <x:v>Loss</x:v>
      </x:c>
    </x:row>
    <x:row r="158">
      <x:c r="A158" t="n">
        <x:v>157</x:v>
      </x:c>
      <x:c r="B158" s="12" t="n">
        <x:v>46158</x:v>
      </x:c>
      <x:c r="C158" t="str">
        <x:v>May 16</x:v>
      </x:c>
      <x:c r="D158" t="n">
        <x:v>21</x:v>
      </x:c>
      <x:c r="E158" t="n">
        <x:v>10</x:v>
      </x:c>
      <x:c r="F158" s="14" t="n">
        <x:v>11</x:v>
      </x:c>
      <x:c r="G158" t="str">
        <x:v>2w ago</x:v>
      </x:c>
      <x:c r="H158" t="str">
        <x:v>Competitive</x:v>
      </x:c>
      <x:c r="I158" t="str">
        <x:v>Convoy</x:v>
      </x:c>
      <x:c r="J158" t="str">
        <x:v>Midtown</x:v>
      </x:c>
      <x:c r="K158" t="str">
        <x:v>Squirrel Girl</x:v>
      </x:c>
      <x:c r="L158" t="str">
        <x:v>Loss</x:v>
      </x:c>
      <x:c r="M158" t="str">
        <x:v>SVP</x:v>
      </x:c>
      <x:c r="N158" t="n">
        <x:v>3</x:v>
      </x:c>
      <x:c r="O158" t="n">
        <x:v>0</x:v>
      </x:c>
      <x:c r="P158" t="str">
        <x:v>Diamond III</x:v>
      </x:c>
      <x:c r="Q158" t="n">
        <x:v>4259</x:v>
      </x:c>
      <x:c r="R158" s="14" t="n">
        <x:v>-21</x:v>
      </x:c>
      <x:c r="S158" t="n">
        <x:v>2</x:v>
      </x:c>
      <x:c r="T158" t="n">
        <x:v>4</x:v>
      </x:c>
      <x:c r="U158" t="n">
        <x:v>0</x:v>
      </x:c>
      <x:c r="V158" s="16" t="n">
        <x:v>0.5</x:v>
      </x:c>
      <x:c r="W158" t="str">
        <x:v>Parsed from Tracker.gg MHTML/PDF export; competitive rows only.</x:v>
      </x:c>
      <x:c r="X158" t="n">
        <x:f>IF(L158="Win",1,0)</x:f>
        <x:v>0</x:v>
      </x:c>
      <x:c r="Y158" s="14" t="n">
        <x:f>IF(L158="Loss",1,0)</x:f>
        <x:v>1</x:v>
      </x:c>
      <x:c r="Z158" t="n">
        <x:f>IF(L158="Draw/Unknown",1,0)</x:f>
        <x:v>0</x:v>
      </x:c>
      <x:c r="AA158" s="16" t="str">
        <x:f>IF(OR(N158="",O158=""),"",N158-O158)</x:f>
      </x:c>
      <x:c r="AB158" s="16" t="n">
        <x:f>IF(T158=0,S158+U158,(S158+U158)/T158)</x:f>
        <x:v>0.5</x:v>
      </x:c>
      <x:c r="AC158" t="n">
        <x:f>S158+U158</x:f>
        <x:v>2</x:v>
      </x:c>
      <x:c r="AD158" t="n">
        <x:f>IF(T158=0,1,0)</x:f>
        <x:v>0</x:v>
      </x:c>
      <x:c r="AE158" t="str">
        <x:f>IF(R158&gt;0,"Gain",IF(R158&lt;0,"Loss","Neutral"))</x:f>
        <x:v>Loss</x:v>
      </x:c>
    </x:row>
    <x:row r="159">
      <x:c r="A159" t="n">
        <x:v>158</x:v>
      </x:c>
      <x:c r="B159" s="12" t="n">
        <x:v>46158</x:v>
      </x:c>
      <x:c r="C159" t="str">
        <x:v>May 16</x:v>
      </x:c>
      <x:c r="D159" t="n">
        <x:v>21</x:v>
      </x:c>
      <x:c r="E159" t="n">
        <x:v>10</x:v>
      </x:c>
      <x:c r="F159" s="14" t="n">
        <x:v>11</x:v>
      </x:c>
      <x:c r="G159" t="str">
        <x:v>2w ago</x:v>
      </x:c>
      <x:c r="H159" t="str">
        <x:v>Competitive</x:v>
      </x:c>
      <x:c r="I159" t="str">
        <x:v>Convergence</x:v>
      </x:c>
      <x:c r="J159" t="str">
        <x:v>Unknown / not captured</x:v>
      </x:c>
      <x:c r="K159" t="str">
        <x:v>Groot</x:v>
      </x:c>
      <x:c r="L159" t="str">
        <x:v>Win</x:v>
      </x:c>
      <x:c r="M159" t="str"/>
      <x:c r="N159" t="n">
        <x:v>2</x:v>
      </x:c>
      <x:c r="O159" t="n">
        <x:v>3</x:v>
      </x:c>
      <x:c r="P159" t="str">
        <x:v>Diamond III</x:v>
      </x:c>
      <x:c r="Q159" t="n">
        <x:v>4280</x:v>
      </x:c>
      <x:c r="R159" s="14" t="n">
        <x:v>19</x:v>
      </x:c>
      <x:c r="S159" t="n">
        <x:v>18</x:v>
      </x:c>
      <x:c r="T159" t="n">
        <x:v>8</x:v>
      </x:c>
      <x:c r="U159" t="n">
        <x:v>3</x:v>
      </x:c>
      <x:c r="V159" s="16" t="n">
        <x:v>2.62</x:v>
      </x:c>
      <x:c r="W159" t="str">
        <x:v>Parsed from Tracker.gg MHTML/PDF export; competitive rows only.</x:v>
      </x:c>
      <x:c r="X159" t="n">
        <x:f>IF(L159="Win",1,0)</x:f>
        <x:v>1</x:v>
      </x:c>
      <x:c r="Y159" s="14" t="n">
        <x:f>IF(L159="Loss",1,0)</x:f>
        <x:v>0</x:v>
      </x:c>
      <x:c r="Z159" t="n">
        <x:f>IF(L159="Draw/Unknown",1,0)</x:f>
        <x:v>0</x:v>
      </x:c>
      <x:c r="AA159" s="16" t="n">
        <x:f>IF(OR(N159="",O159=""),"",N159-O159)</x:f>
        <x:v>-1</x:v>
      </x:c>
      <x:c r="AB159" s="16" t="n">
        <x:f>IF(T159=0,S159+U159,(S159+U159)/T159)</x:f>
        <x:v>2.625</x:v>
      </x:c>
      <x:c r="AC159" t="n">
        <x:f>S159+U159</x:f>
        <x:v>21</x:v>
      </x:c>
      <x:c r="AD159" t="n">
        <x:f>IF(T159=0,1,0)</x:f>
        <x:v>0</x:v>
      </x:c>
      <x:c r="AE159" t="str">
        <x:f>IF(R159&gt;0,"Gain",IF(R159&lt;0,"Loss","Neutral"))</x:f>
        <x:v>Gain</x:v>
      </x:c>
    </x:row>
    <x:row r="160">
      <x:c r="A160" t="n">
        <x:v>159</x:v>
      </x:c>
      <x:c r="B160" s="12" t="n">
        <x:v>46158</x:v>
      </x:c>
      <x:c r="C160" t="str">
        <x:v>May 16</x:v>
      </x:c>
      <x:c r="D160" t="n">
        <x:v>21</x:v>
      </x:c>
      <x:c r="E160" t="n">
        <x:v>10</x:v>
      </x:c>
      <x:c r="F160" s="14" t="n">
        <x:v>11</x:v>
      </x:c>
      <x:c r="G160" t="str">
        <x:v>2w ago</x:v>
      </x:c>
      <x:c r="H160" t="str">
        <x:v>Competitive</x:v>
      </x:c>
      <x:c r="I160" t="str">
        <x:v>Convoy</x:v>
      </x:c>
      <x:c r="J160" t="str">
        <x:v>Museum of Contemplation</x:v>
      </x:c>
      <x:c r="K160" t="str">
        <x:v>Devil Dinosaur</x:v>
      </x:c>
      <x:c r="L160" t="str">
        <x:v>Loss</x:v>
      </x:c>
      <x:c r="M160" t="str"/>
      <x:c r="N160" t="n">
        <x:v>1</x:v>
      </x:c>
      <x:c r="O160" t="n">
        <x:v>2</x:v>
      </x:c>
      <x:c r="P160" t="str">
        <x:v>Diamond III</x:v>
      </x:c>
      <x:c r="Q160" t="n">
        <x:v>4260</x:v>
      </x:c>
      <x:c r="R160" s="14" t="n">
        <x:v>-18</x:v>
      </x:c>
      <x:c r="S160" t="n">
        <x:v>16</x:v>
      </x:c>
      <x:c r="T160" t="n">
        <x:v>10</x:v>
      </x:c>
      <x:c r="U160" t="n">
        <x:v>12</x:v>
      </x:c>
      <x:c r="V160" s="16" t="n">
        <x:v>2.8</x:v>
      </x:c>
      <x:c r="W160" t="str">
        <x:v>Parsed from Tracker.gg MHTML/PDF export; competitive rows only.</x:v>
      </x:c>
      <x:c r="X160" t="n">
        <x:f>IF(L160="Win",1,0)</x:f>
        <x:v>0</x:v>
      </x:c>
      <x:c r="Y160" s="14" t="n">
        <x:f>IF(L160="Loss",1,0)</x:f>
        <x:v>1</x:v>
      </x:c>
      <x:c r="Z160" t="n">
        <x:f>IF(L160="Draw/Unknown",1,0)</x:f>
        <x:v>0</x:v>
      </x:c>
      <x:c r="AA160" s="16" t="n">
        <x:f>IF(OR(N160="",O160=""),"",N160-O160)</x:f>
        <x:v>-1</x:v>
      </x:c>
      <x:c r="AB160" s="16" t="n">
        <x:f>IF(T160=0,S160+U160,(S160+U160)/T160)</x:f>
        <x:v>2.8</x:v>
      </x:c>
      <x:c r="AC160" t="n">
        <x:f>S160+U160</x:f>
        <x:v>28</x:v>
      </x:c>
      <x:c r="AD160" t="n">
        <x:f>IF(T160=0,1,0)</x:f>
        <x:v>0</x:v>
      </x:c>
      <x:c r="AE160" t="str">
        <x:f>IF(R160&gt;0,"Gain",IF(R160&lt;0,"Loss","Neutral"))</x:f>
        <x:v>Loss</x:v>
      </x:c>
    </x:row>
    <x:row r="161">
      <x:c r="A161" t="n">
        <x:v>160</x:v>
      </x:c>
      <x:c r="B161" s="12" t="n">
        <x:v>46158</x:v>
      </x:c>
      <x:c r="C161" t="str">
        <x:v>May 16</x:v>
      </x:c>
      <x:c r="D161" t="n">
        <x:v>21</x:v>
      </x:c>
      <x:c r="E161" t="n">
        <x:v>10</x:v>
      </x:c>
      <x:c r="F161" s="14" t="n">
        <x:v>11</x:v>
      </x:c>
      <x:c r="G161" t="str">
        <x:v>2w ago</x:v>
      </x:c>
      <x:c r="H161" t="str">
        <x:v>Competitive</x:v>
      </x:c>
      <x:c r="I161" t="str">
        <x:v>Convoy</x:v>
      </x:c>
      <x:c r="J161" t="str">
        <x:v>Arakko</x:v>
      </x:c>
      <x:c r="K161" t="str">
        <x:v>Doctor Strange</x:v>
      </x:c>
      <x:c r="L161" t="str">
        <x:v>Loss</x:v>
      </x:c>
      <x:c r="M161" t="str"/>
      <x:c r="N161" t="n">
        <x:v>1</x:v>
      </x:c>
      <x:c r="O161" t="n">
        <x:v>2</x:v>
      </x:c>
      <x:c r="P161" t="str">
        <x:v>Diamond II</x:v>
      </x:c>
      <x:c r="Q161" t="n">
        <x:v>4278</x:v>
      </x:c>
      <x:c r="R161" s="14" t="n">
        <x:v>-25</x:v>
      </x:c>
      <x:c r="S161" t="n">
        <x:v>8</x:v>
      </x:c>
      <x:c r="T161" t="n">
        <x:v>13</x:v>
      </x:c>
      <x:c r="U161" t="n">
        <x:v>1</x:v>
      </x:c>
      <x:c r="V161" s="16" t="n">
        <x:v>0.69</x:v>
      </x:c>
      <x:c r="W161" t="str">
        <x:v>Parsed from Tracker.gg MHTML/PDF export; competitive rows only.</x:v>
      </x:c>
      <x:c r="X161" t="n">
        <x:f>IF(L161="Win",1,0)</x:f>
        <x:v>0</x:v>
      </x:c>
      <x:c r="Y161" s="14" t="n">
        <x:f>IF(L161="Loss",1,0)</x:f>
        <x:v>1</x:v>
      </x:c>
      <x:c r="Z161" t="n">
        <x:f>IF(L161="Draw/Unknown",1,0)</x:f>
        <x:v>0</x:v>
      </x:c>
      <x:c r="AA161" s="16" t="n">
        <x:f>IF(OR(N161="",O161=""),"",N161-O161)</x:f>
        <x:v>-1</x:v>
      </x:c>
      <x:c r="AB161" s="16" t="n">
        <x:f>IF(T161=0,S161+U161,(S161+U161)/T161)</x:f>
        <x:v>0.6923076923076923</x:v>
      </x:c>
      <x:c r="AC161" t="n">
        <x:f>S161+U161</x:f>
        <x:v>9</x:v>
      </x:c>
      <x:c r="AD161" t="n">
        <x:f>IF(T161=0,1,0)</x:f>
        <x:v>0</x:v>
      </x:c>
      <x:c r="AE161" t="str">
        <x:f>IF(R161&gt;0,"Gain",IF(R161&lt;0,"Loss","Neutral"))</x:f>
        <x:v>Loss</x:v>
      </x:c>
    </x:row>
    <x:row r="162">
      <x:c r="A162" t="n">
        <x:v>161</x:v>
      </x:c>
      <x:c r="B162" s="12" t="n">
        <x:v>46158</x:v>
      </x:c>
      <x:c r="C162" t="str">
        <x:v>May 16</x:v>
      </x:c>
      <x:c r="D162" t="n">
        <x:v>21</x:v>
      </x:c>
      <x:c r="E162" t="n">
        <x:v>10</x:v>
      </x:c>
      <x:c r="F162" s="14" t="n">
        <x:v>11</x:v>
      </x:c>
      <x:c r="G162" t="str">
        <x:v>2w ago</x:v>
      </x:c>
      <x:c r="H162" t="str">
        <x:v>Competitive</x:v>
      </x:c>
      <x:c r="I162" t="str">
        <x:v>Convoy</x:v>
      </x:c>
      <x:c r="J162" t="str">
        <x:v>Yggdrasill Path</x:v>
      </x:c>
      <x:c r="K162" t="str">
        <x:v>Squirrel Girl</x:v>
      </x:c>
      <x:c r="L162" t="str">
        <x:v>Loss</x:v>
      </x:c>
      <x:c r="M162" t="str"/>
      <x:c r="N162" t="n">
        <x:v>1</x:v>
      </x:c>
      <x:c r="O162" t="n">
        <x:v>2</x:v>
      </x:c>
      <x:c r="P162" t="str">
        <x:v>Diamond II</x:v>
      </x:c>
      <x:c r="Q162" t="n">
        <x:v>4302</x:v>
      </x:c>
      <x:c r="R162" s="14" t="n">
        <x:v>-23</x:v>
      </x:c>
      <x:c r="S162" t="n">
        <x:v>10</x:v>
      </x:c>
      <x:c r="T162" t="n">
        <x:v>11</x:v>
      </x:c>
      <x:c r="U162" t="n">
        <x:v>2</x:v>
      </x:c>
      <x:c r="V162" s="16" t="n">
        <x:v>1.09</x:v>
      </x:c>
      <x:c r="W162" t="str">
        <x:v>Parsed from Tracker.gg MHTML/PDF export; competitive rows only.</x:v>
      </x:c>
      <x:c r="X162" t="n">
        <x:f>IF(L162="Win",1,0)</x:f>
        <x:v>0</x:v>
      </x:c>
      <x:c r="Y162" s="14" t="n">
        <x:f>IF(L162="Loss",1,0)</x:f>
        <x:v>1</x:v>
      </x:c>
      <x:c r="Z162" t="n">
        <x:f>IF(L162="Draw/Unknown",1,0)</x:f>
        <x:v>0</x:v>
      </x:c>
      <x:c r="AA162" s="16" t="n">
        <x:f>IF(OR(N162="",O162=""),"",N162-O162)</x:f>
        <x:v>-1</x:v>
      </x:c>
      <x:c r="AB162" s="16" t="n">
        <x:f>IF(T162=0,S162+U162,(S162+U162)/T162)</x:f>
        <x:v>1.0909090909090908</x:v>
      </x:c>
      <x:c r="AC162" t="n">
        <x:f>S162+U162</x:f>
        <x:v>12</x:v>
      </x:c>
      <x:c r="AD162" t="n">
        <x:f>IF(T162=0,1,0)</x:f>
        <x:v>0</x:v>
      </x:c>
      <x:c r="AE162" t="str">
        <x:f>IF(R162&gt;0,"Gain",IF(R162&lt;0,"Loss","Neutral"))</x:f>
        <x:v>Loss</x:v>
      </x:c>
    </x:row>
    <x:row r="163">
      <x:c r="A163" t="n">
        <x:v>162</x:v>
      </x:c>
      <x:c r="B163" s="12" t="n">
        <x:v>46158</x:v>
      </x:c>
      <x:c r="C163" t="str">
        <x:v>May 16</x:v>
      </x:c>
      <x:c r="D163" t="n">
        <x:v>21</x:v>
      </x:c>
      <x:c r="E163" t="n">
        <x:v>10</x:v>
      </x:c>
      <x:c r="F163" s="14" t="n">
        <x:v>11</x:v>
      </x:c>
      <x:c r="G163" t="str">
        <x:v>2w ago</x:v>
      </x:c>
      <x:c r="H163" t="str">
        <x:v>Competitive</x:v>
      </x:c>
      <x:c r="I163" t="str">
        <x:v>Convoy</x:v>
      </x:c>
      <x:c r="J163" t="str">
        <x:v>Midtown</x:v>
      </x:c>
      <x:c r="K163" t="str">
        <x:v>Jeff The Land Shark</x:v>
      </x:c>
      <x:c r="L163" t="str">
        <x:v>Win</x:v>
      </x:c>
      <x:c r="M163" t="str"/>
      <x:c r="N163" t="n">
        <x:v>5</x:v>
      </x:c>
      <x:c r="O163" t="n">
        <x:v>4</x:v>
      </x:c>
      <x:c r="P163" t="str">
        <x:v>Diamond III</x:v>
      </x:c>
      <x:c r="Q163" t="n">
        <x:v>4310</x:v>
      </x:c>
      <x:c r="R163" s="14" t="n">
        <x:v>40</x:v>
      </x:c>
      <x:c r="S163" t="n">
        <x:v>36</x:v>
      </x:c>
      <x:c r="T163" t="n">
        <x:v>11</x:v>
      </x:c>
      <x:c r="U163" t="n">
        <x:v>41</x:v>
      </x:c>
      <x:c r="V163" s="16" t="n">
        <x:v>7</x:v>
      </x:c>
      <x:c r="W163" t="str">
        <x:v>Parsed from Tracker.gg MHTML/PDF export; competitive rows only.</x:v>
      </x:c>
      <x:c r="X163" t="n">
        <x:f>IF(L163="Win",1,0)</x:f>
        <x:v>1</x:v>
      </x:c>
      <x:c r="Y163" s="14" t="n">
        <x:f>IF(L163="Loss",1,0)</x:f>
        <x:v>0</x:v>
      </x:c>
      <x:c r="Z163" t="n">
        <x:f>IF(L163="Draw/Unknown",1,0)</x:f>
        <x:v>0</x:v>
      </x:c>
      <x:c r="AA163" s="16" t="n">
        <x:f>IF(OR(N163="",O163=""),"",N163-O163)</x:f>
        <x:v>1</x:v>
      </x:c>
      <x:c r="AB163" s="16" t="n">
        <x:f>IF(T163=0,S163+U163,(S163+U163)/T163)</x:f>
        <x:v>7</x:v>
      </x:c>
      <x:c r="AC163" t="n">
        <x:f>S163+U163</x:f>
        <x:v>77</x:v>
      </x:c>
      <x:c r="AD163" t="n">
        <x:f>IF(T163=0,1,0)</x:f>
        <x:v>0</x:v>
      </x:c>
      <x:c r="AE163" t="str">
        <x:f>IF(R163&gt;0,"Gain",IF(R163&lt;0,"Loss","Neutral"))</x:f>
        <x:v>Gain</x:v>
      </x:c>
    </x:row>
    <x:row r="164">
      <x:c r="A164" t="n">
        <x:v>163</x:v>
      </x:c>
      <x:c r="B164" s="12" t="n">
        <x:v>46158</x:v>
      </x:c>
      <x:c r="C164" t="str">
        <x:v>May 16</x:v>
      </x:c>
      <x:c r="D164" t="n">
        <x:v>21</x:v>
      </x:c>
      <x:c r="E164" t="n">
        <x:v>10</x:v>
      </x:c>
      <x:c r="F164" s="14" t="n">
        <x:v>11</x:v>
      </x:c>
      <x:c r="G164" t="str">
        <x:v>2w ago</x:v>
      </x:c>
      <x:c r="H164" t="str">
        <x:v>Competitive</x:v>
      </x:c>
      <x:c r="I164" t="str">
        <x:v>Convoy</x:v>
      </x:c>
      <x:c r="J164" t="str">
        <x:v>Spider-Islands</x:v>
      </x:c>
      <x:c r="K164" t="str">
        <x:v>Namor</x:v>
      </x:c>
      <x:c r="L164" t="str">
        <x:v>Win</x:v>
      </x:c>
      <x:c r="M164" t="str">
        <x:v>MVP</x:v>
      </x:c>
      <x:c r="N164" t="n">
        <x:v>2</x:v>
      </x:c>
      <x:c r="O164" t="n">
        <x:v>3</x:v>
      </x:c>
      <x:c r="P164" t="str">
        <x:v>Diamond III</x:v>
      </x:c>
      <x:c r="Q164" t="n">
        <x:v>4270</x:v>
      </x:c>
      <x:c r="R164" s="14" t="n">
        <x:v>40</x:v>
      </x:c>
      <x:c r="S164" t="n">
        <x:v>37</x:v>
      </x:c>
      <x:c r="T164" t="n">
        <x:v>8</x:v>
      </x:c>
      <x:c r="U164" t="n">
        <x:v>5</x:v>
      </x:c>
      <x:c r="V164" s="16" t="n">
        <x:v>5.25</x:v>
      </x:c>
      <x:c r="W164" t="str">
        <x:v>Parsed from Tracker.gg MHTML/PDF export; competitive rows only.</x:v>
      </x:c>
      <x:c r="X164" t="n">
        <x:f>IF(L164="Win",1,0)</x:f>
        <x:v>1</x:v>
      </x:c>
      <x:c r="Y164" s="14" t="n">
        <x:f>IF(L164="Loss",1,0)</x:f>
        <x:v>0</x:v>
      </x:c>
      <x:c r="Z164" t="n">
        <x:f>IF(L164="Draw/Unknown",1,0)</x:f>
        <x:v>0</x:v>
      </x:c>
      <x:c r="AA164" s="16" t="n">
        <x:f>IF(OR(N164="",O164=""),"",N164-O164)</x:f>
        <x:v>-1</x:v>
      </x:c>
      <x:c r="AB164" s="16" t="n">
        <x:f>IF(T164=0,S164+U164,(S164+U164)/T164)</x:f>
        <x:v>5.25</x:v>
      </x:c>
      <x:c r="AC164" t="n">
        <x:f>S164+U164</x:f>
        <x:v>42</x:v>
      </x:c>
      <x:c r="AD164" t="n">
        <x:f>IF(T164=0,1,0)</x:f>
        <x:v>0</x:v>
      </x:c>
      <x:c r="AE164" t="str">
        <x:f>IF(R164&gt;0,"Gain",IF(R164&lt;0,"Loss","Neutral"))</x:f>
        <x:v>Gain</x:v>
      </x:c>
    </x:row>
    <x:row r="165">
      <x:c r="A165" t="n">
        <x:v>164</x:v>
      </x:c>
      <x:c r="B165" s="12" t="n">
        <x:v>46158</x:v>
      </x:c>
      <x:c r="C165" t="str">
        <x:v>May 16</x:v>
      </x:c>
      <x:c r="D165" t="n">
        <x:v>21</x:v>
      </x:c>
      <x:c r="E165" t="n">
        <x:v>10</x:v>
      </x:c>
      <x:c r="F165" s="14" t="n">
        <x:v>11</x:v>
      </x:c>
      <x:c r="G165" t="str">
        <x:v>2w ago</x:v>
      </x:c>
      <x:c r="H165" t="str">
        <x:v>Competitive</x:v>
      </x:c>
      <x:c r="I165" t="str">
        <x:v>Convergence</x:v>
      </x:c>
      <x:c r="J165" t="str">
        <x:v>Unknown / not captured</x:v>
      </x:c>
      <x:c r="K165" t="str">
        <x:v>The Thing</x:v>
      </x:c>
      <x:c r="L165" t="str">
        <x:v>Win</x:v>
      </x:c>
      <x:c r="M165" t="str"/>
      <x:c r="N165" t="n">
        <x:v>3</x:v>
      </x:c>
      <x:c r="O165" t="n">
        <x:v>1</x:v>
      </x:c>
      <x:c r="P165" t="str">
        <x:v>Platinum I</x:v>
      </x:c>
      <x:c r="Q165" t="n">
        <x:v>4230</x:v>
      </x:c>
      <x:c r="R165" s="14" t="n">
        <x:v>40</x:v>
      </x:c>
      <x:c r="S165" t="n">
        <x:v>44</x:v>
      </x:c>
      <x:c r="T165" t="n">
        <x:v>9</x:v>
      </x:c>
      <x:c r="U165" t="n">
        <x:v>18</x:v>
      </x:c>
      <x:c r="V165" s="16" t="n">
        <x:v>6.89</x:v>
      </x:c>
      <x:c r="W165" t="str">
        <x:v>Parsed from Tracker.gg MHTML/PDF export; competitive rows only.</x:v>
      </x:c>
      <x:c r="X165" t="n">
        <x:f>IF(L165="Win",1,0)</x:f>
        <x:v>1</x:v>
      </x:c>
      <x:c r="Y165" s="14" t="n">
        <x:f>IF(L165="Loss",1,0)</x:f>
        <x:v>0</x:v>
      </x:c>
      <x:c r="Z165" t="n">
        <x:f>IF(L165="Draw/Unknown",1,0)</x:f>
        <x:v>0</x:v>
      </x:c>
      <x:c r="AA165" s="16" t="n">
        <x:f>IF(OR(N165="",O165=""),"",N165-O165)</x:f>
        <x:v>2</x:v>
      </x:c>
      <x:c r="AB165" s="16" t="n">
        <x:f>IF(T165=0,S165+U165,(S165+U165)/T165)</x:f>
        <x:v>6.888888888888889</x:v>
      </x:c>
      <x:c r="AC165" t="n">
        <x:f>S165+U165</x:f>
        <x:v>62</x:v>
      </x:c>
      <x:c r="AD165" t="n">
        <x:f>IF(T165=0,1,0)</x:f>
        <x:v>0</x:v>
      </x:c>
      <x:c r="AE165" t="str">
        <x:f>IF(R165&gt;0,"Gain",IF(R165&lt;0,"Loss","Neutral"))</x:f>
        <x:v>Gain</x:v>
      </x:c>
    </x:row>
    <x:row r="166">
      <x:c r="A166" t="n">
        <x:v>165</x:v>
      </x:c>
      <x:c r="B166" s="12" t="n">
        <x:v>46158</x:v>
      </x:c>
      <x:c r="C166" t="str">
        <x:v>May 16</x:v>
      </x:c>
      <x:c r="D166" t="n">
        <x:v>21</x:v>
      </x:c>
      <x:c r="E166" t="n">
        <x:v>10</x:v>
      </x:c>
      <x:c r="F166" s="14" t="n">
        <x:v>11</x:v>
      </x:c>
      <x:c r="G166" t="str">
        <x:v>2w ago</x:v>
      </x:c>
      <x:c r="H166" t="str">
        <x:v>Competitive</x:v>
      </x:c>
      <x:c r="I166" t="str">
        <x:v>Domination</x:v>
      </x:c>
      <x:c r="J166" t="str">
        <x:v>Krakoa</x:v>
      </x:c>
      <x:c r="K166" t="str">
        <x:v>The Thing</x:v>
      </x:c>
      <x:c r="L166" t="str">
        <x:v>Win</x:v>
      </x:c>
      <x:c r="M166" t="str"/>
      <x:c r="N166" t="n">
        <x:v>1</x:v>
      </x:c>
      <x:c r="O166" t="n">
        <x:v>2</x:v>
      </x:c>
      <x:c r="P166" t="str">
        <x:v>Platinum I</x:v>
      </x:c>
      <x:c r="Q166" t="n">
        <x:v>4190</x:v>
      </x:c>
      <x:c r="R166" s="14" t="n">
        <x:v>40</x:v>
      </x:c>
      <x:c r="S166" t="n">
        <x:v>26</x:v>
      </x:c>
      <x:c r="T166" t="n">
        <x:v>11</x:v>
      </x:c>
      <x:c r="U166" t="n">
        <x:v>16</x:v>
      </x:c>
      <x:c r="V166" s="16" t="n">
        <x:v>3.82</x:v>
      </x:c>
      <x:c r="W166" t="str">
        <x:v>Parsed from Tracker.gg MHTML/PDF export; competitive rows only.</x:v>
      </x:c>
      <x:c r="X166" t="n">
        <x:f>IF(L166="Win",1,0)</x:f>
        <x:v>1</x:v>
      </x:c>
      <x:c r="Y166" s="14" t="n">
        <x:f>IF(L166="Loss",1,0)</x:f>
        <x:v>0</x:v>
      </x:c>
      <x:c r="Z166" t="n">
        <x:f>IF(L166="Draw/Unknown",1,0)</x:f>
        <x:v>0</x:v>
      </x:c>
      <x:c r="AA166" s="16" t="n">
        <x:f>IF(OR(N166="",O166=""),"",N166-O166)</x:f>
        <x:v>-1</x:v>
      </x:c>
      <x:c r="AB166" s="16" t="n">
        <x:f>IF(T166=0,S166+U166,(S166+U166)/T166)</x:f>
        <x:v>3.8181818181818183</x:v>
      </x:c>
      <x:c r="AC166" t="n">
        <x:f>S166+U166</x:f>
        <x:v>42</x:v>
      </x:c>
      <x:c r="AD166" t="n">
        <x:f>IF(T166=0,1,0)</x:f>
        <x:v>0</x:v>
      </x:c>
      <x:c r="AE166" t="str">
        <x:f>IF(R166&gt;0,"Gain",IF(R166&lt;0,"Loss","Neutral"))</x:f>
        <x:v>Gain</x:v>
      </x:c>
    </x:row>
    <x:row r="167">
      <x:c r="A167" t="n">
        <x:v>166</x:v>
      </x:c>
      <x:c r="B167" s="12" t="n">
        <x:v>46158</x:v>
      </x:c>
      <x:c r="C167" t="str">
        <x:v>May 16</x:v>
      </x:c>
      <x:c r="D167" t="n">
        <x:v>21</x:v>
      </x:c>
      <x:c r="E167" t="n">
        <x:v>10</x:v>
      </x:c>
      <x:c r="F167" s="14" t="n">
        <x:v>11</x:v>
      </x:c>
      <x:c r="G167" t="str">
        <x:v>2w ago</x:v>
      </x:c>
      <x:c r="H167" t="str">
        <x:v>Competitive</x:v>
      </x:c>
      <x:c r="I167" t="str">
        <x:v>Domination</x:v>
      </x:c>
      <x:c r="J167" t="str">
        <x:v>Hell's Heaven</x:v>
      </x:c>
      <x:c r="K167" t="str">
        <x:v>Ultron</x:v>
      </x:c>
      <x:c r="L167" t="str">
        <x:v>Loss</x:v>
      </x:c>
      <x:c r="M167" t="str"/>
      <x:c r="N167" t="n">
        <x:v>2</x:v>
      </x:c>
      <x:c r="O167" t="n">
        <x:v>0</x:v>
      </x:c>
      <x:c r="P167" t="str">
        <x:v>Platinum I</x:v>
      </x:c>
      <x:c r="Q167" t="n">
        <x:v>4150</x:v>
      </x:c>
      <x:c r="R167" s="14" t="n">
        <x:v>-40</x:v>
      </x:c>
      <x:c r="S167" t="n">
        <x:v>6</x:v>
      </x:c>
      <x:c r="T167" t="n">
        <x:v>6</x:v>
      </x:c>
      <x:c r="U167" t="n">
        <x:v>7</x:v>
      </x:c>
      <x:c r="V167" s="16" t="n">
        <x:v>2.17</x:v>
      </x:c>
      <x:c r="W167" t="str">
        <x:v>Parsed from Tracker.gg MHTML/PDF export; competitive rows only.</x:v>
      </x:c>
      <x:c r="X167" t="n">
        <x:f>IF(L167="Win",1,0)</x:f>
        <x:v>0</x:v>
      </x:c>
      <x:c r="Y167" s="14" t="n">
        <x:f>IF(L167="Loss",1,0)</x:f>
        <x:v>1</x:v>
      </x:c>
      <x:c r="Z167" t="n">
        <x:f>IF(L167="Draw/Unknown",1,0)</x:f>
        <x:v>0</x:v>
      </x:c>
      <x:c r="AA167" s="16" t="str">
        <x:f>IF(OR(N167="",O167=""),"",N167-O167)</x:f>
      </x:c>
      <x:c r="AB167" s="16" t="n">
        <x:f>IF(T167=0,S167+U167,(S167+U167)/T167)</x:f>
        <x:v>2.1666666666666665</x:v>
      </x:c>
      <x:c r="AC167" t="n">
        <x:f>S167+U167</x:f>
        <x:v>13</x:v>
      </x:c>
      <x:c r="AD167" t="n">
        <x:f>IF(T167=0,1,0)</x:f>
        <x:v>0</x:v>
      </x:c>
      <x:c r="AE167" t="str">
        <x:f>IF(R167&gt;0,"Gain",IF(R167&lt;0,"Loss","Neutral"))</x:f>
        <x:v>Loss</x:v>
      </x:c>
    </x:row>
    <x:row r="168">
      <x:c r="A168" t="n">
        <x:v>167</x:v>
      </x:c>
      <x:c r="B168" s="12" t="n">
        <x:v>46157</x:v>
      </x:c>
      <x:c r="C168" t="str">
        <x:v>May 15</x:v>
      </x:c>
      <x:c r="D168" t="n">
        <x:v>17</x:v>
      </x:c>
      <x:c r="E168" t="n">
        <x:v>6</x:v>
      </x:c>
      <x:c r="F168" s="14" t="n">
        <x:v>11</x:v>
      </x:c>
      <x:c r="G168" t="str">
        <x:v>2w ago</x:v>
      </x:c>
      <x:c r="H168" t="str">
        <x:v>Competitive</x:v>
      </x:c>
      <x:c r="I168" t="str">
        <x:v>Convergence</x:v>
      </x:c>
      <x:c r="J168" t="str">
        <x:v>Central Park</x:v>
      </x:c>
      <x:c r="K168" t="str">
        <x:v>Peni Parker</x:v>
      </x:c>
      <x:c r="L168" t="str">
        <x:v>Win</x:v>
      </x:c>
      <x:c r="M168" t="str"/>
      <x:c r="N168" t="n">
        <x:v>1</x:v>
      </x:c>
      <x:c r="O168" t="n">
        <x:v>2</x:v>
      </x:c>
      <x:c r="P168" t="str">
        <x:v>Platinum I</x:v>
      </x:c>
      <x:c r="Q168" t="n">
        <x:v>4190</x:v>
      </x:c>
      <x:c r="R168" s="14" t="n">
        <x:v>40</x:v>
      </x:c>
      <x:c r="S168" t="n">
        <x:v>16</x:v>
      </x:c>
      <x:c r="T168" t="n">
        <x:v>3</x:v>
      </x:c>
      <x:c r="U168" t="n">
        <x:v>6</x:v>
      </x:c>
      <x:c r="V168" s="16" t="n">
        <x:v>7.33</x:v>
      </x:c>
      <x:c r="W168" t="str">
        <x:v>Parsed from Tracker.gg MHTML/PDF export; competitive rows only.</x:v>
      </x:c>
      <x:c r="X168" t="n">
        <x:f>IF(L168="Win",1,0)</x:f>
        <x:v>1</x:v>
      </x:c>
      <x:c r="Y168" s="14" t="n">
        <x:f>IF(L168="Loss",1,0)</x:f>
        <x:v>0</x:v>
      </x:c>
      <x:c r="Z168" t="n">
        <x:f>IF(L168="Draw/Unknown",1,0)</x:f>
        <x:v>0</x:v>
      </x:c>
      <x:c r="AA168" s="16" t="n">
        <x:f>IF(OR(N168="",O168=""),"",N168-O168)</x:f>
        <x:v>-1</x:v>
      </x:c>
      <x:c r="AB168" s="16" t="n">
        <x:f>IF(T168=0,S168+U168,(S168+U168)/T168)</x:f>
        <x:v>7.333333333333333</x:v>
      </x:c>
      <x:c r="AC168" t="n">
        <x:f>S168+U168</x:f>
        <x:v>22</x:v>
      </x:c>
      <x:c r="AD168" t="n">
        <x:f>IF(T168=0,1,0)</x:f>
        <x:v>0</x:v>
      </x:c>
      <x:c r="AE168" t="str">
        <x:f>IF(R168&gt;0,"Gain",IF(R168&lt;0,"Loss","Neutral"))</x:f>
        <x:v>Gain</x:v>
      </x:c>
    </x:row>
    <x:row r="169">
      <x:c r="A169" t="n">
        <x:v>168</x:v>
      </x:c>
      <x:c r="B169" s="12" t="n">
        <x:v>46157</x:v>
      </x:c>
      <x:c r="C169" t="str">
        <x:v>May 15</x:v>
      </x:c>
      <x:c r="D169" t="n">
        <x:v>17</x:v>
      </x:c>
      <x:c r="E169" t="n">
        <x:v>6</x:v>
      </x:c>
      <x:c r="F169" s="14" t="n">
        <x:v>11</x:v>
      </x:c>
      <x:c r="G169" t="str">
        <x:v>2w ago</x:v>
      </x:c>
      <x:c r="H169" t="str">
        <x:v>Competitive</x:v>
      </x:c>
      <x:c r="I169" t="str">
        <x:v>Convoy</x:v>
      </x:c>
      <x:c r="J169" t="str">
        <x:v>Museum of Contemplation</x:v>
      </x:c>
      <x:c r="K169" t="str">
        <x:v>The Thing</x:v>
      </x:c>
      <x:c r="L169" t="str">
        <x:v>Loss</x:v>
      </x:c>
      <x:c r="M169" t="str"/>
      <x:c r="N169" t="n">
        <x:v>3</x:v>
      </x:c>
      <x:c r="O169" t="n">
        <x:v>2</x:v>
      </x:c>
      <x:c r="P169" t="str">
        <x:v>Platinum I</x:v>
      </x:c>
      <x:c r="Q169" t="n">
        <x:v>4150</x:v>
      </x:c>
      <x:c r="R169" s="14" t="n">
        <x:v>-40</x:v>
      </x:c>
      <x:c r="S169" t="n">
        <x:v>32</x:v>
      </x:c>
      <x:c r="T169" t="n">
        <x:v>8</x:v>
      </x:c>
      <x:c r="U169" t="n">
        <x:v>3</x:v>
      </x:c>
      <x:c r="V169" s="16" t="n">
        <x:v>4.38</x:v>
      </x:c>
      <x:c r="W169" t="str">
        <x:v>Parsed from Tracker.gg MHTML/PDF export; competitive rows only.</x:v>
      </x:c>
      <x:c r="X169" t="n">
        <x:f>IF(L169="Win",1,0)</x:f>
        <x:v>0</x:v>
      </x:c>
      <x:c r="Y169" s="14" t="n">
        <x:f>IF(L169="Loss",1,0)</x:f>
        <x:v>1</x:v>
      </x:c>
      <x:c r="Z169" t="n">
        <x:f>IF(L169="Draw/Unknown",1,0)</x:f>
        <x:v>0</x:v>
      </x:c>
      <x:c r="AA169" s="16" t="n">
        <x:f>IF(OR(N169="",O169=""),"",N169-O169)</x:f>
        <x:v>1</x:v>
      </x:c>
      <x:c r="AB169" s="16" t="n">
        <x:f>IF(T169=0,S169+U169,(S169+U169)/T169)</x:f>
        <x:v>4.375</x:v>
      </x:c>
      <x:c r="AC169" t="n">
        <x:f>S169+U169</x:f>
        <x:v>35</x:v>
      </x:c>
      <x:c r="AD169" t="n">
        <x:f>IF(T169=0,1,0)</x:f>
        <x:v>0</x:v>
      </x:c>
      <x:c r="AE169" t="str">
        <x:f>IF(R169&gt;0,"Gain",IF(R169&lt;0,"Loss","Neutral"))</x:f>
        <x:v>Loss</x:v>
      </x:c>
    </x:row>
    <x:row r="170">
      <x:c r="A170" t="n">
        <x:v>169</x:v>
      </x:c>
      <x:c r="B170" s="12" t="n">
        <x:v>46157</x:v>
      </x:c>
      <x:c r="C170" t="str">
        <x:v>May 15</x:v>
      </x:c>
      <x:c r="D170" t="n">
        <x:v>17</x:v>
      </x:c>
      <x:c r="E170" t="n">
        <x:v>6</x:v>
      </x:c>
      <x:c r="F170" s="14" t="n">
        <x:v>11</x:v>
      </x:c>
      <x:c r="G170" t="str">
        <x:v>2w ago</x:v>
      </x:c>
      <x:c r="H170" t="str">
        <x:v>Competitive</x:v>
      </x:c>
      <x:c r="I170" t="str">
        <x:v>Convergence</x:v>
      </x:c>
      <x:c r="J170" t="str">
        <x:v>Unknown / not captured</x:v>
      </x:c>
      <x:c r="K170" t="str">
        <x:v>The Thing</x:v>
      </x:c>
      <x:c r="L170" t="str">
        <x:v>Loss</x:v>
      </x:c>
      <x:c r="M170" t="str"/>
      <x:c r="N170" t="n">
        <x:v>2</x:v>
      </x:c>
      <x:c r="O170" t="n">
        <x:v>1</x:v>
      </x:c>
      <x:c r="P170" t="str">
        <x:v>Diamond III</x:v>
      </x:c>
      <x:c r="Q170" t="n">
        <x:v>4190</x:v>
      </x:c>
      <x:c r="R170" s="14" t="n">
        <x:v>-40</x:v>
      </x:c>
      <x:c r="S170" t="n">
        <x:v>28</x:v>
      </x:c>
      <x:c r="T170" t="n">
        <x:v>9</x:v>
      </x:c>
      <x:c r="U170" t="n">
        <x:v>10</x:v>
      </x:c>
      <x:c r="V170" s="16" t="n">
        <x:v>4.22</x:v>
      </x:c>
      <x:c r="W170" t="str">
        <x:v>Parsed from Tracker.gg MHTML/PDF export; competitive rows only.</x:v>
      </x:c>
      <x:c r="X170" t="n">
        <x:f>IF(L170="Win",1,0)</x:f>
        <x:v>0</x:v>
      </x:c>
      <x:c r="Y170" s="14" t="n">
        <x:f>IF(L170="Loss",1,0)</x:f>
        <x:v>1</x:v>
      </x:c>
      <x:c r="Z170" t="n">
        <x:f>IF(L170="Draw/Unknown",1,0)</x:f>
        <x:v>0</x:v>
      </x:c>
      <x:c r="AA170" s="16" t="n">
        <x:f>IF(OR(N170="",O170=""),"",N170-O170)</x:f>
        <x:v>1</x:v>
      </x:c>
      <x:c r="AB170" s="16" t="n">
        <x:f>IF(T170=0,S170+U170,(S170+U170)/T170)</x:f>
        <x:v>4.222222222222222</x:v>
      </x:c>
      <x:c r="AC170" t="n">
        <x:f>S170+U170</x:f>
        <x:v>38</x:v>
      </x:c>
      <x:c r="AD170" t="n">
        <x:f>IF(T170=0,1,0)</x:f>
        <x:v>0</x:v>
      </x:c>
      <x:c r="AE170" t="str">
        <x:f>IF(R170&gt;0,"Gain",IF(R170&lt;0,"Loss","Neutral"))</x:f>
        <x:v>Loss</x:v>
      </x:c>
    </x:row>
    <x:row r="171">
      <x:c r="A171" t="n">
        <x:v>170</x:v>
      </x:c>
      <x:c r="B171" s="12" t="n">
        <x:v>46157</x:v>
      </x:c>
      <x:c r="C171" t="str">
        <x:v>May 15</x:v>
      </x:c>
      <x:c r="D171" t="n">
        <x:v>17</x:v>
      </x:c>
      <x:c r="E171" t="n">
        <x:v>6</x:v>
      </x:c>
      <x:c r="F171" s="14" t="n">
        <x:v>11</x:v>
      </x:c>
      <x:c r="G171" t="str">
        <x:v>2w ago</x:v>
      </x:c>
      <x:c r="H171" t="str">
        <x:v>Competitive</x:v>
      </x:c>
      <x:c r="I171" t="str">
        <x:v>Convoy</x:v>
      </x:c>
      <x:c r="J171" t="str">
        <x:v>Arakko</x:v>
      </x:c>
      <x:c r="K171" t="str">
        <x:v>The Thing</x:v>
      </x:c>
      <x:c r="L171" t="str">
        <x:v>Win</x:v>
      </x:c>
      <x:c r="M171" t="str"/>
      <x:c r="N171" t="n">
        <x:v>3</x:v>
      </x:c>
      <x:c r="O171" t="n">
        <x:v>4</x:v>
      </x:c>
      <x:c r="P171" t="str">
        <x:v>Platinum I</x:v>
      </x:c>
      <x:c r="Q171" t="n">
        <x:v>4230</x:v>
      </x:c>
      <x:c r="R171" s="14" t="n">
        <x:v>40</x:v>
      </x:c>
      <x:c r="S171" t="n">
        <x:v>26</x:v>
      </x:c>
      <x:c r="T171" t="n">
        <x:v>10</x:v>
      </x:c>
      <x:c r="U171" t="n">
        <x:v>5</x:v>
      </x:c>
      <x:c r="V171" s="16" t="n">
        <x:v>3.1</x:v>
      </x:c>
      <x:c r="W171" t="str">
        <x:v>Parsed from Tracker.gg MHTML/PDF export; competitive rows only.</x:v>
      </x:c>
      <x:c r="X171" t="n">
        <x:f>IF(L171="Win",1,0)</x:f>
        <x:v>1</x:v>
      </x:c>
      <x:c r="Y171" s="14" t="n">
        <x:f>IF(L171="Loss",1,0)</x:f>
        <x:v>0</x:v>
      </x:c>
      <x:c r="Z171" t="n">
        <x:f>IF(L171="Draw/Unknown",1,0)</x:f>
        <x:v>0</x:v>
      </x:c>
      <x:c r="AA171" s="16" t="n">
        <x:f>IF(OR(N171="",O171=""),"",N171-O171)</x:f>
        <x:v>-1</x:v>
      </x:c>
      <x:c r="AB171" s="16" t="n">
        <x:f>IF(T171=0,S171+U171,(S171+U171)/T171)</x:f>
        <x:v>3.1</x:v>
      </x:c>
      <x:c r="AC171" t="n">
        <x:f>S171+U171</x:f>
        <x:v>31</x:v>
      </x:c>
      <x:c r="AD171" t="n">
        <x:f>IF(T171=0,1,0)</x:f>
        <x:v>0</x:v>
      </x:c>
      <x:c r="AE171" t="str">
        <x:f>IF(R171&gt;0,"Gain",IF(R171&lt;0,"Loss","Neutral"))</x:f>
        <x:v>Gain</x:v>
      </x:c>
    </x:row>
    <x:row r="172">
      <x:c r="A172" t="n">
        <x:v>171</x:v>
      </x:c>
      <x:c r="B172" s="12" t="n">
        <x:v>46157</x:v>
      </x:c>
      <x:c r="C172" t="str">
        <x:v>May 15</x:v>
      </x:c>
      <x:c r="D172" t="n">
        <x:v>17</x:v>
      </x:c>
      <x:c r="E172" t="n">
        <x:v>6</x:v>
      </x:c>
      <x:c r="F172" s="14" t="n">
        <x:v>11</x:v>
      </x:c>
      <x:c r="G172" t="str">
        <x:v>2w ago</x:v>
      </x:c>
      <x:c r="H172" t="str">
        <x:v>Competitive</x:v>
      </x:c>
      <x:c r="I172" t="str">
        <x:v>Convoy</x:v>
      </x:c>
      <x:c r="J172" t="str">
        <x:v>Midtown</x:v>
      </x:c>
      <x:c r="K172" t="str">
        <x:v>Groot</x:v>
      </x:c>
      <x:c r="L172" t="str">
        <x:v>Win</x:v>
      </x:c>
      <x:c r="M172" t="str">
        <x:v>MVP</x:v>
      </x:c>
      <x:c r="N172" t="n">
        <x:v>0</x:v>
      </x:c>
      <x:c r="O172" t="n">
        <x:v>1</x:v>
      </x:c>
      <x:c r="P172" t="str">
        <x:v>Platinum I</x:v>
      </x:c>
      <x:c r="Q172" t="n">
        <x:v>4190</x:v>
      </x:c>
      <x:c r="R172" s="14" t="n">
        <x:v>40</x:v>
      </x:c>
      <x:c r="S172" t="n">
        <x:v>16</x:v>
      </x:c>
      <x:c r="T172" t="n">
        <x:v>2</x:v>
      </x:c>
      <x:c r="U172" t="n">
        <x:v>8</x:v>
      </x:c>
      <x:c r="V172" s="16" t="n">
        <x:v>12</x:v>
      </x:c>
      <x:c r="W172" t="str">
        <x:v>Parsed from Tracker.gg MHTML/PDF export; competitive rows only.</x:v>
      </x:c>
      <x:c r="X172" t="n">
        <x:f>IF(L172="Win",1,0)</x:f>
        <x:v>1</x:v>
      </x:c>
      <x:c r="Y172" s="14" t="n">
        <x:f>IF(L172="Loss",1,0)</x:f>
        <x:v>0</x:v>
      </x:c>
      <x:c r="Z172" t="n">
        <x:f>IF(L172="Draw/Unknown",1,0)</x:f>
        <x:v>0</x:v>
      </x:c>
      <x:c r="AA172" s="16" t="str">
        <x:f>IF(OR(N172="",O172=""),"",N172-O172)</x:f>
      </x:c>
      <x:c r="AB172" s="16" t="n">
        <x:f>IF(T172=0,S172+U172,(S172+U172)/T172)</x:f>
        <x:v>12</x:v>
      </x:c>
      <x:c r="AC172" t="n">
        <x:f>S172+U172</x:f>
        <x:v>24</x:v>
      </x:c>
      <x:c r="AD172" t="n">
        <x:f>IF(T172=0,1,0)</x:f>
        <x:v>0</x:v>
      </x:c>
      <x:c r="AE172" t="str">
        <x:f>IF(R172&gt;0,"Gain",IF(R172&lt;0,"Loss","Neutral"))</x:f>
        <x:v>Gain</x:v>
      </x:c>
    </x:row>
    <x:row r="173">
      <x:c r="A173" t="n">
        <x:v>172</x:v>
      </x:c>
      <x:c r="B173" s="12" t="n">
        <x:v>46156</x:v>
      </x:c>
      <x:c r="C173" t="str">
        <x:v>May 14</x:v>
      </x:c>
      <x:c r="D173" t="n">
        <x:v>4</x:v>
      </x:c>
      <x:c r="E173" t="n">
        <x:v>1</x:v>
      </x:c>
      <x:c r="F173" s="14" t="n">
        <x:v>3</x:v>
      </x:c>
      <x:c r="G173" t="str">
        <x:v>3w ago</x:v>
      </x:c>
      <x:c r="H173" t="str">
        <x:v>Competitive</x:v>
      </x:c>
      <x:c r="I173" t="str">
        <x:v>Domination</x:v>
      </x:c>
      <x:c r="J173" t="str">
        <x:v>Celestial Husk</x:v>
      </x:c>
      <x:c r="K173" t="str">
        <x:v>Peni Parker</x:v>
      </x:c>
      <x:c r="L173" t="str">
        <x:v>Win</x:v>
      </x:c>
      <x:c r="M173" t="str"/>
      <x:c r="N173" t="n">
        <x:v>2</x:v>
      </x:c>
      <x:c r="O173" t="n">
        <x:v>0</x:v>
      </x:c>
      <x:c r="P173" t="str">
        <x:v>Diamond I</x:v>
      </x:c>
      <x:c r="Q173" t="n">
        <x:v>4489</x:v>
      </x:c>
      <x:c r="R173" s="14" t="n">
        <x:v>22</x:v>
      </x:c>
      <x:c r="S173" t="n">
        <x:v>8</x:v>
      </x:c>
      <x:c r="T173" t="n">
        <x:v>1</x:v>
      </x:c>
      <x:c r="U173" t="n">
        <x:v>14</x:v>
      </x:c>
      <x:c r="V173" s="16" t="n">
        <x:v>22</x:v>
      </x:c>
      <x:c r="W173" t="str">
        <x:v>Parsed from Tracker.gg MHTML/PDF export; competitive rows only.</x:v>
      </x:c>
      <x:c r="X173" t="n">
        <x:f>IF(L173="Win",1,0)</x:f>
        <x:v>1</x:v>
      </x:c>
      <x:c r="Y173" s="14" t="n">
        <x:f>IF(L173="Loss",1,0)</x:f>
        <x:v>0</x:v>
      </x:c>
      <x:c r="Z173" t="n">
        <x:f>IF(L173="Draw/Unknown",1,0)</x:f>
        <x:v>0</x:v>
      </x:c>
      <x:c r="AA173" s="16" t="str">
        <x:f>IF(OR(N173="",O173=""),"",N173-O173)</x:f>
      </x:c>
      <x:c r="AB173" s="16" t="n">
        <x:f>IF(T173=0,S173+U173,(S173+U173)/T173)</x:f>
        <x:v>22</x:v>
      </x:c>
      <x:c r="AC173" t="n">
        <x:f>S173+U173</x:f>
        <x:v>22</x:v>
      </x:c>
      <x:c r="AD173" t="n">
        <x:f>IF(T173=0,1,0)</x:f>
        <x:v>0</x:v>
      </x:c>
      <x:c r="AE173" t="str">
        <x:f>IF(R173&gt;0,"Gain",IF(R173&lt;0,"Loss","Neutral"))</x:f>
        <x:v>Gain</x:v>
      </x:c>
    </x:row>
    <x:row r="174">
      <x:c r="A174" t="n">
        <x:v>173</x:v>
      </x:c>
      <x:c r="B174" s="12" t="n">
        <x:v>46156</x:v>
      </x:c>
      <x:c r="C174" t="str">
        <x:v>May 14</x:v>
      </x:c>
      <x:c r="D174" t="n">
        <x:v>4</x:v>
      </x:c>
      <x:c r="E174" t="n">
        <x:v>1</x:v>
      </x:c>
      <x:c r="F174" s="14" t="n">
        <x:v>3</x:v>
      </x:c>
      <x:c r="G174" t="str">
        <x:v>3w ago</x:v>
      </x:c>
      <x:c r="H174" t="str">
        <x:v>Competitive</x:v>
      </x:c>
      <x:c r="I174" t="str">
        <x:v>Domination</x:v>
      </x:c>
      <x:c r="J174" t="str">
        <x:v>Birnin T'Challa</x:v>
      </x:c>
      <x:c r="K174" t="str">
        <x:v>The Thing</x:v>
      </x:c>
      <x:c r="L174" t="str">
        <x:v>Loss</x:v>
      </x:c>
      <x:c r="M174" t="str"/>
      <x:c r="N174" t="n">
        <x:v>1</x:v>
      </x:c>
      <x:c r="O174" t="n">
        <x:v>2</x:v>
      </x:c>
      <x:c r="P174" t="str">
        <x:v>Diamond I</x:v>
      </x:c>
      <x:c r="Q174" t="n">
        <x:v>4466</x:v>
      </x:c>
      <x:c r="R174" s="14" t="n">
        <x:v>-23</x:v>
      </x:c>
      <x:c r="S174" t="n">
        <x:v>11</x:v>
      </x:c>
      <x:c r="T174" t="n">
        <x:v>9</x:v>
      </x:c>
      <x:c r="U174" t="n">
        <x:v>6</x:v>
      </x:c>
      <x:c r="V174" s="16" t="n">
        <x:v>1.89</x:v>
      </x:c>
      <x:c r="W174" t="str">
        <x:v>Parsed from Tracker.gg MHTML/PDF export; competitive rows only.</x:v>
      </x:c>
      <x:c r="X174" t="n">
        <x:f>IF(L174="Win",1,0)</x:f>
        <x:v>0</x:v>
      </x:c>
      <x:c r="Y174" s="14" t="n">
        <x:f>IF(L174="Loss",1,0)</x:f>
        <x:v>1</x:v>
      </x:c>
      <x:c r="Z174" t="n">
        <x:f>IF(L174="Draw/Unknown",1,0)</x:f>
        <x:v>0</x:v>
      </x:c>
      <x:c r="AA174" s="16" t="n">
        <x:f>IF(OR(N174="",O174=""),"",N174-O174)</x:f>
        <x:v>-1</x:v>
      </x:c>
      <x:c r="AB174" s="16" t="n">
        <x:f>IF(T174=0,S174+U174,(S174+U174)/T174)</x:f>
        <x:v>1.8888888888888888</x:v>
      </x:c>
      <x:c r="AC174" t="n">
        <x:f>S174+U174</x:f>
        <x:v>17</x:v>
      </x:c>
      <x:c r="AD174" t="n">
        <x:f>IF(T174=0,1,0)</x:f>
        <x:v>0</x:v>
      </x:c>
      <x:c r="AE174" t="str">
        <x:f>IF(R174&gt;0,"Gain",IF(R174&lt;0,"Loss","Neutral"))</x:f>
        <x:v>Loss</x:v>
      </x:c>
    </x:row>
    <x:row r="175">
      <x:c r="A175" t="n">
        <x:v>174</x:v>
      </x:c>
      <x:c r="B175" s="12" t="n">
        <x:v>46156</x:v>
      </x:c>
      <x:c r="C175" t="str">
        <x:v>May 14</x:v>
      </x:c>
      <x:c r="D175" t="n">
        <x:v>4</x:v>
      </x:c>
      <x:c r="E175" t="n">
        <x:v>1</x:v>
      </x:c>
      <x:c r="F175" s="14" t="n">
        <x:v>3</x:v>
      </x:c>
      <x:c r="G175" t="str">
        <x:v>3w ago</x:v>
      </x:c>
      <x:c r="H175" t="str">
        <x:v>Competitive</x:v>
      </x:c>
      <x:c r="I175" t="str">
        <x:v>Convoy</x:v>
      </x:c>
      <x:c r="J175" t="str">
        <x:v>Arakko</x:v>
      </x:c>
      <x:c r="K175" t="str">
        <x:v>Squirrel Girl</x:v>
      </x:c>
      <x:c r="L175" t="str">
        <x:v>Loss</x:v>
      </x:c>
      <x:c r="M175" t="str"/>
      <x:c r="N175" t="n">
        <x:v>0</x:v>
      </x:c>
      <x:c r="O175" t="n">
        <x:v>1</x:v>
      </x:c>
      <x:c r="P175" t="str">
        <x:v>Grandmaster III</x:v>
      </x:c>
      <x:c r="Q175" t="n">
        <x:v>4489</x:v>
      </x:c>
      <x:c r="R175" s="14" t="n">
        <x:v>-23</x:v>
      </x:c>
      <x:c r="S175" t="n">
        <x:v>3</x:v>
      </x:c>
      <x:c r="T175" t="n">
        <x:v>7</x:v>
      </x:c>
      <x:c r="U175" t="n">
        <x:v>1</x:v>
      </x:c>
      <x:c r="V175" s="16" t="n">
        <x:v>0.57</x:v>
      </x:c>
      <x:c r="W175" t="str">
        <x:v>Parsed from Tracker.gg MHTML/PDF export; competitive rows only.</x:v>
      </x:c>
      <x:c r="X175" t="n">
        <x:f>IF(L175="Win",1,0)</x:f>
        <x:v>0</x:v>
      </x:c>
      <x:c r="Y175" s="14" t="n">
        <x:f>IF(L175="Loss",1,0)</x:f>
        <x:v>1</x:v>
      </x:c>
      <x:c r="Z175" t="n">
        <x:f>IF(L175="Draw/Unknown",1,0)</x:f>
        <x:v>0</x:v>
      </x:c>
      <x:c r="AA175" s="16" t="str">
        <x:f>IF(OR(N175="",O175=""),"",N175-O175)</x:f>
      </x:c>
      <x:c r="AB175" s="16" t="n">
        <x:f>IF(T175=0,S175+U175,(S175+U175)/T175)</x:f>
        <x:v>0.5714285714285714</x:v>
      </x:c>
      <x:c r="AC175" t="n">
        <x:f>S175+U175</x:f>
        <x:v>4</x:v>
      </x:c>
      <x:c r="AD175" t="n">
        <x:f>IF(T175=0,1,0)</x:f>
        <x:v>0</x:v>
      </x:c>
      <x:c r="AE175" t="str">
        <x:f>IF(R175&gt;0,"Gain",IF(R175&lt;0,"Loss","Neutral"))</x:f>
        <x:v>Loss</x:v>
      </x:c>
    </x:row>
    <x:row r="176">
      <x:c r="A176" t="n">
        <x:v>175</x:v>
      </x:c>
      <x:c r="B176" s="12" t="n">
        <x:v>46156</x:v>
      </x:c>
      <x:c r="C176" t="str">
        <x:v>May 14</x:v>
      </x:c>
      <x:c r="D176" t="n">
        <x:v>4</x:v>
      </x:c>
      <x:c r="E176" t="n">
        <x:v>1</x:v>
      </x:c>
      <x:c r="F176" s="14" t="n">
        <x:v>3</x:v>
      </x:c>
      <x:c r="G176" t="str">
        <x:v>3w ago</x:v>
      </x:c>
      <x:c r="H176" t="str">
        <x:v>Competitive</x:v>
      </x:c>
      <x:c r="I176" t="str">
        <x:v>Convoy</x:v>
      </x:c>
      <x:c r="J176" t="str">
        <x:v>Museum of Contemplation</x:v>
      </x:c>
      <x:c r="K176" t="str">
        <x:v>Groot</x:v>
      </x:c>
      <x:c r="L176" t="str">
        <x:v>Loss</x:v>
      </x:c>
      <x:c r="M176" t="str"/>
      <x:c r="N176" t="n">
        <x:v>2</x:v>
      </x:c>
      <x:c r="O176" t="n">
        <x:v>0</x:v>
      </x:c>
      <x:c r="P176" t="str">
        <x:v>Grandmaster III</x:v>
      </x:c>
      <x:c r="Q176" t="n">
        <x:v>4512</x:v>
      </x:c>
      <x:c r="R176" s="14" t="n">
        <x:v>-22</x:v>
      </x:c>
      <x:c r="S176" t="n">
        <x:v>11</x:v>
      </x:c>
      <x:c r="T176" t="n">
        <x:v>10</x:v>
      </x:c>
      <x:c r="U176" t="n">
        <x:v>2</x:v>
      </x:c>
      <x:c r="V176" s="16" t="n">
        <x:v>1.3</x:v>
      </x:c>
      <x:c r="W176" t="str">
        <x:v>Parsed from Tracker.gg MHTML/PDF export; competitive rows only.</x:v>
      </x:c>
      <x:c r="X176" t="n">
        <x:f>IF(L176="Win",1,0)</x:f>
        <x:v>0</x:v>
      </x:c>
      <x:c r="Y176" s="14" t="n">
        <x:f>IF(L176="Loss",1,0)</x:f>
        <x:v>1</x:v>
      </x:c>
      <x:c r="Z176" t="n">
        <x:f>IF(L176="Draw/Unknown",1,0)</x:f>
        <x:v>0</x:v>
      </x:c>
      <x:c r="AA176" s="16" t="str">
        <x:f>IF(OR(N176="",O176=""),"",N176-O176)</x:f>
      </x:c>
      <x:c r="AB176" s="16" t="n">
        <x:f>IF(T176=0,S176+U176,(S176+U176)/T176)</x:f>
        <x:v>1.3</x:v>
      </x:c>
      <x:c r="AC176" t="n">
        <x:f>S176+U176</x:f>
        <x:v>13</x:v>
      </x:c>
      <x:c r="AD176" t="n">
        <x:f>IF(T176=0,1,0)</x:f>
        <x:v>0</x:v>
      </x:c>
      <x:c r="AE176" t="str">
        <x:f>IF(R176&gt;0,"Gain",IF(R176&lt;0,"Loss","Neutral"))</x:f>
        <x:v>Loss</x:v>
      </x:c>
    </x:row>
    <x:row r="177">
      <x:c r="A177" t="n">
        <x:v>176</x:v>
      </x:c>
      <x:c r="B177" s="12" t="n">
        <x:v>46155</x:v>
      </x:c>
      <x:c r="C177" t="str">
        <x:v>May 13</x:v>
      </x:c>
      <x:c r="D177" t="n">
        <x:v>5</x:v>
      </x:c>
      <x:c r="E177" t="n">
        <x:v>3</x:v>
      </x:c>
      <x:c r="F177" s="14" t="n">
        <x:v>2</x:v>
      </x:c>
      <x:c r="G177" t="str">
        <x:v>3w ago</x:v>
      </x:c>
      <x:c r="H177" t="str">
        <x:v>Competitive</x:v>
      </x:c>
      <x:c r="I177" t="str">
        <x:v>Convergence</x:v>
      </x:c>
      <x:c r="J177" t="str">
        <x:v>Unknown / not captured</x:v>
      </x:c>
      <x:c r="K177" t="str">
        <x:v>Namor</x:v>
      </x:c>
      <x:c r="L177" t="str">
        <x:v>Loss</x:v>
      </x:c>
      <x:c r="M177" t="str"/>
      <x:c r="N177" t="n">
        <x:v>2</x:v>
      </x:c>
      <x:c r="O177" t="n">
        <x:v>1</x:v>
      </x:c>
      <x:c r="P177" t="str">
        <x:v>Grandmaster III</x:v>
      </x:c>
      <x:c r="Q177" t="n">
        <x:v>4533</x:v>
      </x:c>
      <x:c r="R177" s="14" t="n">
        <x:v>-21</x:v>
      </x:c>
      <x:c r="S177" t="n">
        <x:v>22</x:v>
      </x:c>
      <x:c r="T177" t="n">
        <x:v>13</x:v>
      </x:c>
      <x:c r="U177" t="n">
        <x:v>3</x:v>
      </x:c>
      <x:c r="V177" s="16" t="n">
        <x:v>1.92</x:v>
      </x:c>
      <x:c r="W177" t="str">
        <x:v>Parsed from Tracker.gg MHTML/PDF export; competitive rows only.</x:v>
      </x:c>
      <x:c r="X177" t="n">
        <x:f>IF(L177="Win",1,0)</x:f>
        <x:v>0</x:v>
      </x:c>
      <x:c r="Y177" s="14" t="n">
        <x:f>IF(L177="Loss",1,0)</x:f>
        <x:v>1</x:v>
      </x:c>
      <x:c r="Z177" t="n">
        <x:f>IF(L177="Draw/Unknown",1,0)</x:f>
        <x:v>0</x:v>
      </x:c>
      <x:c r="AA177" s="16" t="n">
        <x:f>IF(OR(N177="",O177=""),"",N177-O177)</x:f>
        <x:v>1</x:v>
      </x:c>
      <x:c r="AB177" s="16" t="n">
        <x:f>IF(T177=0,S177+U177,(S177+U177)/T177)</x:f>
        <x:v>1.9230769230769231</x:v>
      </x:c>
      <x:c r="AC177" t="n">
        <x:f>S177+U177</x:f>
        <x:v>25</x:v>
      </x:c>
      <x:c r="AD177" t="n">
        <x:f>IF(T177=0,1,0)</x:f>
        <x:v>0</x:v>
      </x:c>
      <x:c r="AE177" t="str">
        <x:f>IF(R177&gt;0,"Gain",IF(R177&lt;0,"Loss","Neutral"))</x:f>
        <x:v>Loss</x:v>
      </x:c>
    </x:row>
    <x:row r="178">
      <x:c r="A178" t="n">
        <x:v>177</x:v>
      </x:c>
      <x:c r="B178" s="12" t="n">
        <x:v>46155</x:v>
      </x:c>
      <x:c r="C178" t="str">
        <x:v>May 13</x:v>
      </x:c>
      <x:c r="D178" t="n">
        <x:v>5</x:v>
      </x:c>
      <x:c r="E178" t="n">
        <x:v>3</x:v>
      </x:c>
      <x:c r="F178" s="14" t="n">
        <x:v>2</x:v>
      </x:c>
      <x:c r="G178" t="str">
        <x:v>3w ago</x:v>
      </x:c>
      <x:c r="H178" t="str">
        <x:v>Competitive</x:v>
      </x:c>
      <x:c r="I178" t="str">
        <x:v>Domination</x:v>
      </x:c>
      <x:c r="J178" t="str">
        <x:v>Celestial Husk</x:v>
      </x:c>
      <x:c r="K178" t="str">
        <x:v>Storm</x:v>
      </x:c>
      <x:c r="L178" t="str">
        <x:v>Win</x:v>
      </x:c>
      <x:c r="M178" t="str"/>
      <x:c r="N178" t="n">
        <x:v>2</x:v>
      </x:c>
      <x:c r="O178" t="n">
        <x:v>0</x:v>
      </x:c>
      <x:c r="P178" t="str">
        <x:v>Grandmaster III</x:v>
      </x:c>
      <x:c r="Q178" t="n">
        <x:v>4554</x:v>
      </x:c>
      <x:c r="R178" s="14" t="n">
        <x:v>20</x:v>
      </x:c>
      <x:c r="S178" t="n">
        <x:v>20</x:v>
      </x:c>
      <x:c r="T178" t="n">
        <x:v>2</x:v>
      </x:c>
      <x:c r="U178" t="n">
        <x:v>26</x:v>
      </x:c>
      <x:c r="V178" s="16" t="n">
        <x:v>23</x:v>
      </x:c>
      <x:c r="W178" t="str">
        <x:v>Parsed from Tracker.gg MHTML/PDF export; competitive rows only.</x:v>
      </x:c>
      <x:c r="X178" t="n">
        <x:f>IF(L178="Win",1,0)</x:f>
        <x:v>1</x:v>
      </x:c>
      <x:c r="Y178" s="14" t="n">
        <x:f>IF(L178="Loss",1,0)</x:f>
        <x:v>0</x:v>
      </x:c>
      <x:c r="Z178" t="n">
        <x:f>IF(L178="Draw/Unknown",1,0)</x:f>
        <x:v>0</x:v>
      </x:c>
      <x:c r="AA178" s="16" t="str">
        <x:f>IF(OR(N178="",O178=""),"",N178-O178)</x:f>
      </x:c>
      <x:c r="AB178" s="16" t="n">
        <x:f>IF(T178=0,S178+U178,(S178+U178)/T178)</x:f>
        <x:v>23</x:v>
      </x:c>
      <x:c r="AC178" t="n">
        <x:f>S178+U178</x:f>
        <x:v>46</x:v>
      </x:c>
      <x:c r="AD178" t="n">
        <x:f>IF(T178=0,1,0)</x:f>
        <x:v>0</x:v>
      </x:c>
      <x:c r="AE178" t="str">
        <x:f>IF(R178&gt;0,"Gain",IF(R178&lt;0,"Loss","Neutral"))</x:f>
        <x:v>Gain</x:v>
      </x:c>
    </x:row>
    <x:row r="179">
      <x:c r="A179" t="n">
        <x:v>178</x:v>
      </x:c>
      <x:c r="B179" s="12" t="n">
        <x:v>46155</x:v>
      </x:c>
      <x:c r="C179" t="str">
        <x:v>May 13</x:v>
      </x:c>
      <x:c r="D179" t="n">
        <x:v>5</x:v>
      </x:c>
      <x:c r="E179" t="n">
        <x:v>3</x:v>
      </x:c>
      <x:c r="F179" s="14" t="n">
        <x:v>2</x:v>
      </x:c>
      <x:c r="G179" t="str">
        <x:v>3w ago</x:v>
      </x:c>
      <x:c r="H179" t="str">
        <x:v>Competitive</x:v>
      </x:c>
      <x:c r="I179" t="str">
        <x:v>Convoy</x:v>
      </x:c>
      <x:c r="J179" t="str">
        <x:v>Yggdrasill Path</x:v>
      </x:c>
      <x:c r="K179" t="str">
        <x:v>Groot</x:v>
      </x:c>
      <x:c r="L179" t="str">
        <x:v>Win</x:v>
      </x:c>
      <x:c r="M179" t="str"/>
      <x:c r="N179" t="n">
        <x:v>1</x:v>
      </x:c>
      <x:c r="O179" t="n">
        <x:v>2</x:v>
      </x:c>
      <x:c r="P179" t="str">
        <x:v>Grandmaster III</x:v>
      </x:c>
      <x:c r="Q179" t="n">
        <x:v>4534</x:v>
      </x:c>
      <x:c r="R179" s="14" t="n">
        <x:v>19</x:v>
      </x:c>
      <x:c r="S179" t="n">
        <x:v>25</x:v>
      </x:c>
      <x:c r="T179" t="n">
        <x:v>8</x:v>
      </x:c>
      <x:c r="U179" t="n">
        <x:v>5</x:v>
      </x:c>
      <x:c r="V179" s="16" t="n">
        <x:v>3.75</x:v>
      </x:c>
      <x:c r="W179" t="str">
        <x:v>Parsed from Tracker.gg MHTML/PDF export; competitive rows only.</x:v>
      </x:c>
      <x:c r="X179" t="n">
        <x:f>IF(L179="Win",1,0)</x:f>
        <x:v>1</x:v>
      </x:c>
      <x:c r="Y179" s="14" t="n">
        <x:f>IF(L179="Loss",1,0)</x:f>
        <x:v>0</x:v>
      </x:c>
      <x:c r="Z179" t="n">
        <x:f>IF(L179="Draw/Unknown",1,0)</x:f>
        <x:v>0</x:v>
      </x:c>
      <x:c r="AA179" s="16" t="n">
        <x:f>IF(OR(N179="",O179=""),"",N179-O179)</x:f>
        <x:v>-1</x:v>
      </x:c>
      <x:c r="AB179" s="16" t="n">
        <x:f>IF(T179=0,S179+U179,(S179+U179)/T179)</x:f>
        <x:v>3.75</x:v>
      </x:c>
      <x:c r="AC179" t="n">
        <x:f>S179+U179</x:f>
        <x:v>30</x:v>
      </x:c>
      <x:c r="AD179" t="n">
        <x:f>IF(T179=0,1,0)</x:f>
        <x:v>0</x:v>
      </x:c>
      <x:c r="AE179" t="str">
        <x:f>IF(R179&gt;0,"Gain",IF(R179&lt;0,"Loss","Neutral"))</x:f>
        <x:v>Gain</x:v>
      </x:c>
    </x:row>
    <x:row r="180">
      <x:c r="A180" t="n">
        <x:v>179</x:v>
      </x:c>
      <x:c r="B180" s="12" t="n">
        <x:v>46155</x:v>
      </x:c>
      <x:c r="C180" t="str">
        <x:v>May 13</x:v>
      </x:c>
      <x:c r="D180" t="n">
        <x:v>5</x:v>
      </x:c>
      <x:c r="E180" t="n">
        <x:v>3</x:v>
      </x:c>
      <x:c r="F180" s="14" t="n">
        <x:v>2</x:v>
      </x:c>
      <x:c r="G180" t="str">
        <x:v>3w ago</x:v>
      </x:c>
      <x:c r="H180" t="str">
        <x:v>Competitive</x:v>
      </x:c>
      <x:c r="I180" t="str">
        <x:v>Domination</x:v>
      </x:c>
      <x:c r="J180" t="str">
        <x:v>Hell's Heaven</x:v>
      </x:c>
      <x:c r="K180" t="str">
        <x:v>The Thing</x:v>
      </x:c>
      <x:c r="L180" t="str">
        <x:v>Win</x:v>
      </x:c>
      <x:c r="M180" t="str"/>
      <x:c r="N180" t="n">
        <x:v>2</x:v>
      </x:c>
      <x:c r="O180" t="n">
        <x:v>1</x:v>
      </x:c>
      <x:c r="P180" t="str">
        <x:v>Grandmaster III</x:v>
      </x:c>
      <x:c r="Q180" t="n">
        <x:v>4514</x:v>
      </x:c>
      <x:c r="R180" s="14" t="n">
        <x:v>21</x:v>
      </x:c>
      <x:c r="S180" t="n">
        <x:v>22</x:v>
      </x:c>
      <x:c r="T180" t="n">
        <x:v>6</x:v>
      </x:c>
      <x:c r="U180" t="n">
        <x:v>5</x:v>
      </x:c>
      <x:c r="V180" s="16" t="n">
        <x:v>4.5</x:v>
      </x:c>
      <x:c r="W180" t="str">
        <x:v>Parsed from Tracker.gg MHTML/PDF export; competitive rows only.</x:v>
      </x:c>
      <x:c r="X180" t="n">
        <x:f>IF(L180="Win",1,0)</x:f>
        <x:v>1</x:v>
      </x:c>
      <x:c r="Y180" s="14" t="n">
        <x:f>IF(L180="Loss",1,0)</x:f>
        <x:v>0</x:v>
      </x:c>
      <x:c r="Z180" t="n">
        <x:f>IF(L180="Draw/Unknown",1,0)</x:f>
        <x:v>0</x:v>
      </x:c>
      <x:c r="AA180" s="16" t="n">
        <x:f>IF(OR(N180="",O180=""),"",N180-O180)</x:f>
        <x:v>1</x:v>
      </x:c>
      <x:c r="AB180" s="16" t="n">
        <x:f>IF(T180=0,S180+U180,(S180+U180)/T180)</x:f>
        <x:v>4.5</x:v>
      </x:c>
      <x:c r="AC180" t="n">
        <x:f>S180+U180</x:f>
        <x:v>27</x:v>
      </x:c>
      <x:c r="AD180" t="n">
        <x:f>IF(T180=0,1,0)</x:f>
        <x:v>0</x:v>
      </x:c>
      <x:c r="AE180" t="str">
        <x:f>IF(R180&gt;0,"Gain",IF(R180&lt;0,"Loss","Neutral"))</x:f>
        <x:v>Gain</x:v>
      </x:c>
    </x:row>
    <x:row r="181">
      <x:c r="A181" t="n">
        <x:v>180</x:v>
      </x:c>
      <x:c r="B181" s="12" t="n">
        <x:v>46155</x:v>
      </x:c>
      <x:c r="C181" t="str">
        <x:v>May 13</x:v>
      </x:c>
      <x:c r="D181" t="n">
        <x:v>5</x:v>
      </x:c>
      <x:c r="E181" t="n">
        <x:v>3</x:v>
      </x:c>
      <x:c r="F181" s="14" t="n">
        <x:v>2</x:v>
      </x:c>
      <x:c r="G181" t="str">
        <x:v>3w ago</x:v>
      </x:c>
      <x:c r="H181" t="str">
        <x:v>Competitive</x:v>
      </x:c>
      <x:c r="I181" t="str">
        <x:v>Convoy</x:v>
      </x:c>
      <x:c r="J181" t="str">
        <x:v>Museum of Contemplation</x:v>
      </x:c>
      <x:c r="K181" t="str">
        <x:v>Cloak &amp; Dagger</x:v>
      </x:c>
      <x:c r="L181" t="str">
        <x:v>Loss</x:v>
      </x:c>
      <x:c r="M181" t="str"/>
      <x:c r="N181" t="n">
        <x:v>2</x:v>
      </x:c>
      <x:c r="O181" t="n">
        <x:v>0</x:v>
      </x:c>
      <x:c r="P181" t="str">
        <x:v>Grandmaster III</x:v>
      </x:c>
      <x:c r="Q181" t="n">
        <x:v>4493</x:v>
      </x:c>
      <x:c r="R181" s="14" t="n">
        <x:v>-18</x:v>
      </x:c>
      <x:c r="S181" t="n">
        <x:v>11</x:v>
      </x:c>
      <x:c r="T181" t="n">
        <x:v>13</x:v>
      </x:c>
      <x:c r="U181" t="n">
        <x:v>8</x:v>
      </x:c>
      <x:c r="V181" s="16" t="n">
        <x:v>1.46</x:v>
      </x:c>
      <x:c r="W181" t="str">
        <x:v>Parsed from Tracker.gg MHTML/PDF export; competitive rows only.</x:v>
      </x:c>
      <x:c r="X181" t="n">
        <x:f>IF(L181="Win",1,0)</x:f>
        <x:v>0</x:v>
      </x:c>
      <x:c r="Y181" s="14" t="n">
        <x:f>IF(L181="Loss",1,0)</x:f>
        <x:v>1</x:v>
      </x:c>
      <x:c r="Z181" t="n">
        <x:f>IF(L181="Draw/Unknown",1,0)</x:f>
        <x:v>0</x:v>
      </x:c>
      <x:c r="AA181" s="16" t="str">
        <x:f>IF(OR(N181="",O181=""),"",N181-O181)</x:f>
      </x:c>
      <x:c r="AB181" s="16" t="n">
        <x:f>IF(T181=0,S181+U181,(S181+U181)/T181)</x:f>
        <x:v>1.4615384615384615</x:v>
      </x:c>
      <x:c r="AC181" t="n">
        <x:f>S181+U181</x:f>
        <x:v>19</x:v>
      </x:c>
      <x:c r="AD181" t="n">
        <x:f>IF(T181=0,1,0)</x:f>
        <x:v>0</x:v>
      </x:c>
      <x:c r="AE181" t="str">
        <x:f>IF(R181&gt;0,"Gain",IF(R181&lt;0,"Loss","Neutral"))</x:f>
        <x:v>Loss</x:v>
      </x:c>
    </x:row>
    <x:row r="182">
      <x:c r="A182" t="n">
        <x:v>181</x:v>
      </x:c>
      <x:c r="B182" s="12" t="n">
        <x:v>46120</x:v>
      </x:c>
      <x:c r="C182" t="str">
        <x:v>Apr 8</x:v>
      </x:c>
      <x:c r="D182" t="n">
        <x:v>30</x:v>
      </x:c>
      <x:c r="E182" t="n">
        <x:v>19</x:v>
      </x:c>
      <x:c r="F182" s="14" t="n">
        <x:v>10</x:v>
      </x:c>
      <x:c r="G182" t="str">
        <x:v>1mo ago</x:v>
      </x:c>
      <x:c r="H182" t="str">
        <x:v>Competitive</x:v>
      </x:c>
      <x:c r="I182" t="str">
        <x:v>Convergence</x:v>
      </x:c>
      <x:c r="J182" t="str">
        <x:v>Heart Of Heaven</x:v>
      </x:c>
      <x:c r="K182" t="str">
        <x:v>Groot</x:v>
      </x:c>
      <x:c r="L182" t="str">
        <x:v>Win</x:v>
      </x:c>
      <x:c r="M182" t="str"/>
      <x:c r="N182" t="n">
        <x:v>3</x:v>
      </x:c>
      <x:c r="O182" t="n">
        <x:v>0</x:v>
      </x:c>
      <x:c r="P182" t="str">
        <x:v>Grandmaster III</x:v>
      </x:c>
      <x:c r="Q182" t="n">
        <x:v>4510</x:v>
      </x:c>
      <x:c r="R182" s="14" t="n">
        <x:v>23</x:v>
      </x:c>
      <x:c r="S182" t="n">
        <x:v>18</x:v>
      </x:c>
      <x:c r="T182" t="n">
        <x:v>2</x:v>
      </x:c>
      <x:c r="U182" t="n">
        <x:v>5</x:v>
      </x:c>
      <x:c r="V182" s="16" t="n">
        <x:v>11.5</x:v>
      </x:c>
      <x:c r="W182" t="str">
        <x:v>Parsed from Tracker.gg MHTML/PDF export; competitive rows only.</x:v>
      </x:c>
      <x:c r="X182" t="n">
        <x:f>IF(L182="Win",1,0)</x:f>
        <x:v>1</x:v>
      </x:c>
      <x:c r="Y182" s="14" t="n">
        <x:f>IF(L182="Loss",1,0)</x:f>
        <x:v>0</x:v>
      </x:c>
      <x:c r="Z182" t="n">
        <x:f>IF(L182="Draw/Unknown",1,0)</x:f>
        <x:v>0</x:v>
      </x:c>
      <x:c r="AA182" s="16" t="str">
        <x:f>IF(OR(N182="",O182=""),"",N182-O182)</x:f>
      </x:c>
      <x:c r="AB182" s="16" t="n">
        <x:f>IF(T182=0,S182+U182,(S182+U182)/T182)</x:f>
        <x:v>11.5</x:v>
      </x:c>
      <x:c r="AC182" t="n">
        <x:f>S182+U182</x:f>
        <x:v>23</x:v>
      </x:c>
      <x:c r="AD182" t="n">
        <x:f>IF(T182=0,1,0)</x:f>
        <x:v>0</x:v>
      </x:c>
      <x:c r="AE182" t="str">
        <x:f>IF(R182&gt;0,"Gain",IF(R182&lt;0,"Loss","Neutral"))</x:f>
        <x:v>Gain</x:v>
      </x:c>
    </x:row>
    <x:row r="183">
      <x:c r="A183" t="n">
        <x:v>182</x:v>
      </x:c>
      <x:c r="B183" s="12" t="n">
        <x:v>46120</x:v>
      </x:c>
      <x:c r="C183" t="str">
        <x:v>Apr 8</x:v>
      </x:c>
      <x:c r="D183" t="n">
        <x:v>30</x:v>
      </x:c>
      <x:c r="E183" t="n">
        <x:v>19</x:v>
      </x:c>
      <x:c r="F183" s="14" t="n">
        <x:v>10</x:v>
      </x:c>
      <x:c r="G183" t="str">
        <x:v>1mo ago</x:v>
      </x:c>
      <x:c r="H183" t="str">
        <x:v>Competitive</x:v>
      </x:c>
      <x:c r="I183" t="str">
        <x:v>Domination</x:v>
      </x:c>
      <x:c r="J183" t="str">
        <x:v>Krakoa</x:v>
      </x:c>
      <x:c r="K183" t="str">
        <x:v>The Thing</x:v>
      </x:c>
      <x:c r="L183" t="str">
        <x:v>Win</x:v>
      </x:c>
      <x:c r="M183" t="str"/>
      <x:c r="N183" t="n">
        <x:v>1</x:v>
      </x:c>
      <x:c r="O183" t="n">
        <x:v>2</x:v>
      </x:c>
      <x:c r="P183" t="str">
        <x:v>Diamond I</x:v>
      </x:c>
      <x:c r="Q183" t="n">
        <x:v>4487</x:v>
      </x:c>
      <x:c r="R183" s="14" t="n">
        <x:v>23</x:v>
      </x:c>
      <x:c r="S183" t="n">
        <x:v>34</x:v>
      </x:c>
      <x:c r="T183" t="n">
        <x:v>9</x:v>
      </x:c>
      <x:c r="U183" t="n">
        <x:v>18</x:v>
      </x:c>
      <x:c r="V183" s="16" t="n">
        <x:v>5.78</x:v>
      </x:c>
      <x:c r="W183" t="str">
        <x:v>Parsed from Tracker.gg MHTML/PDF export; competitive rows only.</x:v>
      </x:c>
      <x:c r="X183" t="n">
        <x:f>IF(L183="Win",1,0)</x:f>
        <x:v>1</x:v>
      </x:c>
      <x:c r="Y183" s="14" t="n">
        <x:f>IF(L183="Loss",1,0)</x:f>
        <x:v>0</x:v>
      </x:c>
      <x:c r="Z183" t="n">
        <x:f>IF(L183="Draw/Unknown",1,0)</x:f>
        <x:v>0</x:v>
      </x:c>
      <x:c r="AA183" s="16" t="n">
        <x:f>IF(OR(N183="",O183=""),"",N183-O183)</x:f>
        <x:v>-1</x:v>
      </x:c>
      <x:c r="AB183" s="16" t="n">
        <x:f>IF(T183=0,S183+U183,(S183+U183)/T183)</x:f>
        <x:v>5.777777777777778</x:v>
      </x:c>
      <x:c r="AC183" t="n">
        <x:f>S183+U183</x:f>
        <x:v>52</x:v>
      </x:c>
      <x:c r="AD183" t="n">
        <x:f>IF(T183=0,1,0)</x:f>
        <x:v>0</x:v>
      </x:c>
      <x:c r="AE183" t="str">
        <x:f>IF(R183&gt;0,"Gain",IF(R183&lt;0,"Loss","Neutral"))</x:f>
        <x:v>Gain</x:v>
      </x:c>
    </x:row>
    <x:row r="184">
      <x:c r="A184" t="n">
        <x:v>183</x:v>
      </x:c>
      <x:c r="B184" s="12" t="n">
        <x:v>46120</x:v>
      </x:c>
      <x:c r="C184" t="str">
        <x:v>Apr 8</x:v>
      </x:c>
      <x:c r="D184" t="n">
        <x:v>30</x:v>
      </x:c>
      <x:c r="E184" t="n">
        <x:v>19</x:v>
      </x:c>
      <x:c r="F184" s="14" t="n">
        <x:v>10</x:v>
      </x:c>
      <x:c r="G184" t="str">
        <x:v>1mo ago</x:v>
      </x:c>
      <x:c r="H184" t="str">
        <x:v>Competitive</x:v>
      </x:c>
      <x:c r="I184" t="str">
        <x:v>Convergence</x:v>
      </x:c>
      <x:c r="J184" t="str">
        <x:v>Shin-Shibuya</x:v>
      </x:c>
      <x:c r="K184" t="str">
        <x:v>Namor</x:v>
      </x:c>
      <x:c r="L184" t="str">
        <x:v>Win</x:v>
      </x:c>
      <x:c r="M184" t="str"/>
      <x:c r="N184" t="n">
        <x:v>3</x:v>
      </x:c>
      <x:c r="O184" t="n">
        <x:v>4</x:v>
      </x:c>
      <x:c r="P184" t="str">
        <x:v>Diamond I</x:v>
      </x:c>
      <x:c r="Q184" t="n">
        <x:v>4464</x:v>
      </x:c>
      <x:c r="R184" s="14" t="n">
        <x:v>23</x:v>
      </x:c>
      <x:c r="S184" t="n">
        <x:v>49</x:v>
      </x:c>
      <x:c r="T184" t="n">
        <x:v>7</x:v>
      </x:c>
      <x:c r="U184" t="n">
        <x:v>4</x:v>
      </x:c>
      <x:c r="V184" s="16" t="n">
        <x:v>7.57</x:v>
      </x:c>
      <x:c r="W184" t="str">
        <x:v>Parsed from Tracker.gg MHTML/PDF export; competitive rows only.</x:v>
      </x:c>
      <x:c r="X184" t="n">
        <x:f>IF(L184="Win",1,0)</x:f>
        <x:v>1</x:v>
      </x:c>
      <x:c r="Y184" s="14" t="n">
        <x:f>IF(L184="Loss",1,0)</x:f>
        <x:v>0</x:v>
      </x:c>
      <x:c r="Z184" t="n">
        <x:f>IF(L184="Draw/Unknown",1,0)</x:f>
        <x:v>0</x:v>
      </x:c>
      <x:c r="AA184" s="16" t="n">
        <x:f>IF(OR(N184="",O184=""),"",N184-O184)</x:f>
        <x:v>-1</x:v>
      </x:c>
      <x:c r="AB184" s="16" t="n">
        <x:f>IF(T184=0,S184+U184,(S184+U184)/T184)</x:f>
        <x:v>7.571428571428571</x:v>
      </x:c>
      <x:c r="AC184" t="n">
        <x:f>S184+U184</x:f>
        <x:v>53</x:v>
      </x:c>
      <x:c r="AD184" t="n">
        <x:f>IF(T184=0,1,0)</x:f>
        <x:v>0</x:v>
      </x:c>
      <x:c r="AE184" t="str">
        <x:f>IF(R184&gt;0,"Gain",IF(R184&lt;0,"Loss","Neutral"))</x:f>
        <x:v>Gain</x:v>
      </x:c>
    </x:row>
    <x:row r="185">
      <x:c r="A185" t="n">
        <x:v>184</x:v>
      </x:c>
      <x:c r="B185" s="12" t="n">
        <x:v>46120</x:v>
      </x:c>
      <x:c r="C185" t="str">
        <x:v>Apr 8</x:v>
      </x:c>
      <x:c r="D185" t="n">
        <x:v>30</x:v>
      </x:c>
      <x:c r="E185" t="n">
        <x:v>19</x:v>
      </x:c>
      <x:c r="F185" s="14" t="n">
        <x:v>10</x:v>
      </x:c>
      <x:c r="G185" t="str">
        <x:v>1mo ago</x:v>
      </x:c>
      <x:c r="H185" t="str">
        <x:v>Competitive</x:v>
      </x:c>
      <x:c r="I185" t="str">
        <x:v>Convergence</x:v>
      </x:c>
      <x:c r="J185" t="str">
        <x:v>Hall Of Djalia</x:v>
      </x:c>
      <x:c r="K185" t="str">
        <x:v>Storm</x:v>
      </x:c>
      <x:c r="L185" t="str">
        <x:v>Loss</x:v>
      </x:c>
      <x:c r="M185" t="str"/>
      <x:c r="N185" t="n">
        <x:v>2</x:v>
      </x:c>
      <x:c r="O185" t="n">
        <x:v>1</x:v>
      </x:c>
      <x:c r="P185" t="str">
        <x:v>Diamond I</x:v>
      </x:c>
      <x:c r="Q185" t="n">
        <x:v>4440</x:v>
      </x:c>
      <x:c r="R185" s="14" t="n">
        <x:v>-23</x:v>
      </x:c>
      <x:c r="S185" t="n">
        <x:v>22</x:v>
      </x:c>
      <x:c r="T185" t="n">
        <x:v>16</x:v>
      </x:c>
      <x:c r="U185" t="n">
        <x:v>13</x:v>
      </x:c>
      <x:c r="V185" s="16" t="n">
        <x:v>2.19</x:v>
      </x:c>
      <x:c r="W185" t="str">
        <x:v>Parsed from Tracker.gg MHTML/PDF export; competitive rows only.</x:v>
      </x:c>
      <x:c r="X185" t="n">
        <x:f>IF(L185="Win",1,0)</x:f>
        <x:v>0</x:v>
      </x:c>
      <x:c r="Y185" s="14" t="n">
        <x:f>IF(L185="Loss",1,0)</x:f>
        <x:v>1</x:v>
      </x:c>
      <x:c r="Z185" t="n">
        <x:f>IF(L185="Draw/Unknown",1,0)</x:f>
        <x:v>0</x:v>
      </x:c>
      <x:c r="AA185" s="16" t="n">
        <x:f>IF(OR(N185="",O185=""),"",N185-O185)</x:f>
        <x:v>1</x:v>
      </x:c>
      <x:c r="AB185" s="16" t="n">
        <x:f>IF(T185=0,S185+U185,(S185+U185)/T185)</x:f>
        <x:v>2.1875</x:v>
      </x:c>
      <x:c r="AC185" t="n">
        <x:f>S185+U185</x:f>
        <x:v>35</x:v>
      </x:c>
      <x:c r="AD185" t="n">
        <x:f>IF(T185=0,1,0)</x:f>
        <x:v>0</x:v>
      </x:c>
      <x:c r="AE185" t="str">
        <x:f>IF(R185&gt;0,"Gain",IF(R185&lt;0,"Loss","Neutral"))</x:f>
        <x:v>Loss</x:v>
      </x:c>
    </x:row>
    <x:row r="186">
      <x:c r="A186" t="n">
        <x:v>185</x:v>
      </x:c>
      <x:c r="B186" s="12" t="n">
        <x:v>46120</x:v>
      </x:c>
      <x:c r="C186" t="str">
        <x:v>Apr 8</x:v>
      </x:c>
      <x:c r="D186" t="n">
        <x:v>30</x:v>
      </x:c>
      <x:c r="E186" t="n">
        <x:v>19</x:v>
      </x:c>
      <x:c r="F186" s="14" t="n">
        <x:v>10</x:v>
      </x:c>
      <x:c r="G186" t="str">
        <x:v>1mo ago</x:v>
      </x:c>
      <x:c r="H186" t="str">
        <x:v>Competitive</x:v>
      </x:c>
      <x:c r="I186" t="str">
        <x:v>Domination</x:v>
      </x:c>
      <x:c r="J186" t="str">
        <x:v>Krakoa</x:v>
      </x:c>
      <x:c r="K186" t="str">
        <x:v>Peni Parker</x:v>
      </x:c>
      <x:c r="L186" t="str">
        <x:v>Win</x:v>
      </x:c>
      <x:c r="M186" t="str">
        <x:v>MVP</x:v>
      </x:c>
      <x:c r="N186" t="n">
        <x:v>1</x:v>
      </x:c>
      <x:c r="O186" t="n">
        <x:v>2</x:v>
      </x:c>
      <x:c r="P186" t="str">
        <x:v>Diamond I</x:v>
      </x:c>
      <x:c r="Q186" t="n">
        <x:v>4462</x:v>
      </x:c>
      <x:c r="R186" s="14" t="n">
        <x:v>25</x:v>
      </x:c>
      <x:c r="S186" t="n">
        <x:v>28</x:v>
      </x:c>
      <x:c r="T186" t="n">
        <x:v>5</x:v>
      </x:c>
      <x:c r="U186" t="n">
        <x:v>14</x:v>
      </x:c>
      <x:c r="V186" s="16" t="n">
        <x:v>8.4</x:v>
      </x:c>
      <x:c r="W186" t="str">
        <x:v>Parsed from Tracker.gg MHTML/PDF export; competitive rows only.</x:v>
      </x:c>
      <x:c r="X186" t="n">
        <x:f>IF(L186="Win",1,0)</x:f>
        <x:v>1</x:v>
      </x:c>
      <x:c r="Y186" s="14" t="n">
        <x:f>IF(L186="Loss",1,0)</x:f>
        <x:v>0</x:v>
      </x:c>
      <x:c r="Z186" t="n">
        <x:f>IF(L186="Draw/Unknown",1,0)</x:f>
        <x:v>0</x:v>
      </x:c>
      <x:c r="AA186" s="16" t="n">
        <x:f>IF(OR(N186="",O186=""),"",N186-O186)</x:f>
        <x:v>-1</x:v>
      </x:c>
      <x:c r="AB186" s="16" t="n">
        <x:f>IF(T186=0,S186+U186,(S186+U186)/T186)</x:f>
        <x:v>8.4</x:v>
      </x:c>
      <x:c r="AC186" t="n">
        <x:f>S186+U186</x:f>
        <x:v>42</x:v>
      </x:c>
      <x:c r="AD186" t="n">
        <x:f>IF(T186=0,1,0)</x:f>
        <x:v>0</x:v>
      </x:c>
      <x:c r="AE186" t="str">
        <x:f>IF(R186&gt;0,"Gain",IF(R186&lt;0,"Loss","Neutral"))</x:f>
        <x:v>Gain</x:v>
      </x:c>
    </x:row>
    <x:row r="187">
      <x:c r="A187" t="n">
        <x:v>186</x:v>
      </x:c>
      <x:c r="B187" s="12" t="n">
        <x:v>46120</x:v>
      </x:c>
      <x:c r="C187" t="str">
        <x:v>Apr 8</x:v>
      </x:c>
      <x:c r="D187" t="n">
        <x:v>30</x:v>
      </x:c>
      <x:c r="E187" t="n">
        <x:v>19</x:v>
      </x:c>
      <x:c r="F187" s="14" t="n">
        <x:v>10</x:v>
      </x:c>
      <x:c r="G187" t="str">
        <x:v>1mo ago</x:v>
      </x:c>
      <x:c r="H187" t="str">
        <x:v>Competitive</x:v>
      </x:c>
      <x:c r="I187" t="str">
        <x:v>Convergence</x:v>
      </x:c>
      <x:c r="J187" t="str">
        <x:v>Central Park</x:v>
      </x:c>
      <x:c r="K187" t="str">
        <x:v>The Thing</x:v>
      </x:c>
      <x:c r="L187" t="str">
        <x:v>Loss</x:v>
      </x:c>
      <x:c r="M187" t="str">
        <x:v>SVP</x:v>
      </x:c>
      <x:c r="N187" t="n">
        <x:v>2</x:v>
      </x:c>
      <x:c r="O187" t="n">
        <x:v>0</x:v>
      </x:c>
      <x:c r="P187" t="str">
        <x:v>Diamond I</x:v>
      </x:c>
      <x:c r="Q187" t="n">
        <x:v>4437</x:v>
      </x:c>
      <x:c r="R187" s="14" t="n">
        <x:v>-17</x:v>
      </x:c>
      <x:c r="S187" t="n">
        <x:v>21</x:v>
      </x:c>
      <x:c r="T187" t="n">
        <x:v>10</x:v>
      </x:c>
      <x:c r="U187" t="n">
        <x:v>5</x:v>
      </x:c>
      <x:c r="V187" s="16" t="n">
        <x:v>2.6</x:v>
      </x:c>
      <x:c r="W187" t="str">
        <x:v>Parsed from Tracker.gg MHTML/PDF export; competitive rows only.</x:v>
      </x:c>
      <x:c r="X187" t="n">
        <x:f>IF(L187="Win",1,0)</x:f>
        <x:v>0</x:v>
      </x:c>
      <x:c r="Y187" s="14" t="n">
        <x:f>IF(L187="Loss",1,0)</x:f>
        <x:v>1</x:v>
      </x:c>
      <x:c r="Z187" t="n">
        <x:f>IF(L187="Draw/Unknown",1,0)</x:f>
        <x:v>0</x:v>
      </x:c>
      <x:c r="AA187" s="16" t="str">
        <x:f>IF(OR(N187="",O187=""),"",N187-O187)</x:f>
      </x:c>
      <x:c r="AB187" s="16" t="n">
        <x:f>IF(T187=0,S187+U187,(S187+U187)/T187)</x:f>
        <x:v>2.6</x:v>
      </x:c>
      <x:c r="AC187" t="n">
        <x:f>S187+U187</x:f>
        <x:v>26</x:v>
      </x:c>
      <x:c r="AD187" t="n">
        <x:f>IF(T187=0,1,0)</x:f>
        <x:v>0</x:v>
      </x:c>
      <x:c r="AE187" t="str">
        <x:f>IF(R187&gt;0,"Gain",IF(R187&lt;0,"Loss","Neutral"))</x:f>
        <x:v>Loss</x:v>
      </x:c>
    </x:row>
    <x:row r="188">
      <x:c r="A188" t="n">
        <x:v>187</x:v>
      </x:c>
      <x:c r="B188" s="12" t="n">
        <x:v>46120</x:v>
      </x:c>
      <x:c r="C188" t="str">
        <x:v>Apr 8</x:v>
      </x:c>
      <x:c r="D188" t="n">
        <x:v>30</x:v>
      </x:c>
      <x:c r="E188" t="n">
        <x:v>19</x:v>
      </x:c>
      <x:c r="F188" s="14" t="n">
        <x:v>10</x:v>
      </x:c>
      <x:c r="G188" t="str">
        <x:v>1mo ago</x:v>
      </x:c>
      <x:c r="H188" t="str">
        <x:v>Competitive</x:v>
      </x:c>
      <x:c r="I188" t="str">
        <x:v>Convoy</x:v>
      </x:c>
      <x:c r="J188" t="str">
        <x:v>Spider-Islands</x:v>
      </x:c>
      <x:c r="K188" t="str">
        <x:v>The Thing</x:v>
      </x:c>
      <x:c r="L188" t="str">
        <x:v>Loss</x:v>
      </x:c>
      <x:c r="M188" t="str"/>
      <x:c r="N188" t="n">
        <x:v>1</x:v>
      </x:c>
      <x:c r="O188" t="n">
        <x:v>2</x:v>
      </x:c>
      <x:c r="P188" t="str">
        <x:v>Diamond I</x:v>
      </x:c>
      <x:c r="Q188" t="n">
        <x:v>4453</x:v>
      </x:c>
      <x:c r="R188" s="14" t="n">
        <x:v>-20</x:v>
      </x:c>
      <x:c r="S188" t="n">
        <x:v>13</x:v>
      </x:c>
      <x:c r="T188" t="n">
        <x:v>14</x:v>
      </x:c>
      <x:c r="U188" t="n">
        <x:v>4</x:v>
      </x:c>
      <x:c r="V188" s="16" t="n">
        <x:v>1.21</x:v>
      </x:c>
      <x:c r="W188" t="str">
        <x:v>Parsed from Tracker.gg MHTML/PDF export; competitive rows only.</x:v>
      </x:c>
      <x:c r="X188" t="n">
        <x:f>IF(L188="Win",1,0)</x:f>
        <x:v>0</x:v>
      </x:c>
      <x:c r="Y188" s="14" t="n">
        <x:f>IF(L188="Loss",1,0)</x:f>
        <x:v>1</x:v>
      </x:c>
      <x:c r="Z188" t="n">
        <x:f>IF(L188="Draw/Unknown",1,0)</x:f>
        <x:v>0</x:v>
      </x:c>
      <x:c r="AA188" s="16" t="n">
        <x:f>IF(OR(N188="",O188=""),"",N188-O188)</x:f>
        <x:v>-1</x:v>
      </x:c>
      <x:c r="AB188" s="16" t="n">
        <x:f>IF(T188=0,S188+U188,(S188+U188)/T188)</x:f>
        <x:v>1.2142857142857142</x:v>
      </x:c>
      <x:c r="AC188" t="n">
        <x:f>S188+U188</x:f>
        <x:v>17</x:v>
      </x:c>
      <x:c r="AD188" t="n">
        <x:f>IF(T188=0,1,0)</x:f>
        <x:v>0</x:v>
      </x:c>
      <x:c r="AE188" t="str">
        <x:f>IF(R188&gt;0,"Gain",IF(R188&lt;0,"Loss","Neutral"))</x:f>
        <x:v>Loss</x:v>
      </x:c>
    </x:row>
    <x:row r="189">
      <x:c r="A189" t="n">
        <x:v>188</x:v>
      </x:c>
      <x:c r="B189" s="12" t="n">
        <x:v>46120</x:v>
      </x:c>
      <x:c r="C189" t="str">
        <x:v>Apr 8</x:v>
      </x:c>
      <x:c r="D189" t="n">
        <x:v>30</x:v>
      </x:c>
      <x:c r="E189" t="n">
        <x:v>19</x:v>
      </x:c>
      <x:c r="F189" s="14" t="n">
        <x:v>10</x:v>
      </x:c>
      <x:c r="G189" t="str">
        <x:v>1mo ago</x:v>
      </x:c>
      <x:c r="H189" t="str">
        <x:v>Competitive</x:v>
      </x:c>
      <x:c r="I189" t="str">
        <x:v>Convoy</x:v>
      </x:c>
      <x:c r="J189" t="str">
        <x:v>Arakko</x:v>
      </x:c>
      <x:c r="K189" t="str">
        <x:v>The Thing</x:v>
      </x:c>
      <x:c r="L189" t="str">
        <x:v>Win</x:v>
      </x:c>
      <x:c r="M189" t="str"/>
      <x:c r="N189" t="n">
        <x:v>5</x:v>
      </x:c>
      <x:c r="O189" t="n">
        <x:v>3</x:v>
      </x:c>
      <x:c r="P189" t="str">
        <x:v>Diamond I</x:v>
      </x:c>
      <x:c r="Q189" t="n">
        <x:v>4472</x:v>
      </x:c>
      <x:c r="R189" s="14" t="n">
        <x:v>22</x:v>
      </x:c>
      <x:c r="S189" t="n">
        <x:v>32</x:v>
      </x:c>
      <x:c r="T189" t="n">
        <x:v>14</x:v>
      </x:c>
      <x:c r="U189" t="n">
        <x:v>18</x:v>
      </x:c>
      <x:c r="V189" s="16" t="n">
        <x:v>3.57</x:v>
      </x:c>
      <x:c r="W189" t="str">
        <x:v>Parsed from Tracker.gg MHTML/PDF export; competitive rows only.</x:v>
      </x:c>
      <x:c r="X189" t="n">
        <x:f>IF(L189="Win",1,0)</x:f>
        <x:v>1</x:v>
      </x:c>
      <x:c r="Y189" s="14" t="n">
        <x:f>IF(L189="Loss",1,0)</x:f>
        <x:v>0</x:v>
      </x:c>
      <x:c r="Z189" t="n">
        <x:f>IF(L189="Draw/Unknown",1,0)</x:f>
        <x:v>0</x:v>
      </x:c>
      <x:c r="AA189" s="16" t="n">
        <x:f>IF(OR(N189="",O189=""),"",N189-O189)</x:f>
        <x:v>2</x:v>
      </x:c>
      <x:c r="AB189" s="16" t="n">
        <x:f>IF(T189=0,S189+U189,(S189+U189)/T189)</x:f>
        <x:v>3.5714285714285716</x:v>
      </x:c>
      <x:c r="AC189" t="n">
        <x:f>S189+U189</x:f>
        <x:v>50</x:v>
      </x:c>
      <x:c r="AD189" t="n">
        <x:f>IF(T189=0,1,0)</x:f>
        <x:v>0</x:v>
      </x:c>
      <x:c r="AE189" t="str">
        <x:f>IF(R189&gt;0,"Gain",IF(R189&lt;0,"Loss","Neutral"))</x:f>
        <x:v>Gain</x:v>
      </x:c>
    </x:row>
    <x:row r="190">
      <x:c r="A190" t="n">
        <x:v>189</x:v>
      </x:c>
      <x:c r="B190" s="12" t="n">
        <x:v>46120</x:v>
      </x:c>
      <x:c r="C190" t="str">
        <x:v>Apr 8</x:v>
      </x:c>
      <x:c r="D190" t="n">
        <x:v>30</x:v>
      </x:c>
      <x:c r="E190" t="n">
        <x:v>19</x:v>
      </x:c>
      <x:c r="F190" s="14" t="n">
        <x:v>10</x:v>
      </x:c>
      <x:c r="G190" t="str">
        <x:v>1mo ago</x:v>
      </x:c>
      <x:c r="H190" t="str">
        <x:v>Competitive</x:v>
      </x:c>
      <x:c r="I190" t="str">
        <x:v>Convergence</x:v>
      </x:c>
      <x:c r="J190" t="str">
        <x:v>Shin-Shibuya</x:v>
      </x:c>
      <x:c r="K190" t="str">
        <x:v>Groot</x:v>
      </x:c>
      <x:c r="L190" t="str">
        <x:v>Draw/Unknown</x:v>
      </x:c>
      <x:c r="M190" t="str">
        <x:v>MVP</x:v>
      </x:c>
      <x:c r="N190" t="n">
        <x:v>0</x:v>
      </x:c>
      <x:c r="O190" t="n">
        <x:v>0</x:v>
      </x:c>
      <x:c r="P190" t="str">
        <x:v>Diamond I</x:v>
      </x:c>
      <x:c r="Q190" t="n">
        <x:v>4449</x:v>
      </x:c>
      <x:c r="R190" s="14" t="n">
        <x:v>5</x:v>
      </x:c>
      <x:c r="S190" t="n">
        <x:v>14</x:v>
      </x:c>
      <x:c r="T190" t="n">
        <x:v>6</x:v>
      </x:c>
      <x:c r="U190" t="n">
        <x:v>1</x:v>
      </x:c>
      <x:c r="V190" s="16" t="n">
        <x:v>2.5</x:v>
      </x:c>
      <x:c r="W190" t="str">
        <x:v>Parsed from Tracker.gg MHTML/PDF export; competitive rows only.</x:v>
      </x:c>
      <x:c r="X190" t="n">
        <x:f>IF(L190="Win",1,0)</x:f>
        <x:v>0</x:v>
      </x:c>
      <x:c r="Y190" s="14" t="n">
        <x:f>IF(L190="Loss",1,0)</x:f>
        <x:v>0</x:v>
      </x:c>
      <x:c r="Z190" t="n">
        <x:f>IF(L190="Draw/Unknown",1,0)</x:f>
        <x:v>1</x:v>
      </x:c>
      <x:c r="AA190" s="16" t="str">
        <x:f>IF(OR(N190="",O190=""),"",N190-O190)</x:f>
      </x:c>
      <x:c r="AB190" s="16" t="n">
        <x:f>IF(T190=0,S190+U190,(S190+U190)/T190)</x:f>
        <x:v>2.5</x:v>
      </x:c>
      <x:c r="AC190" t="n">
        <x:f>S190+U190</x:f>
        <x:v>15</x:v>
      </x:c>
      <x:c r="AD190" t="n">
        <x:f>IF(T190=0,1,0)</x:f>
        <x:v>0</x:v>
      </x:c>
      <x:c r="AE190" t="str">
        <x:f>IF(R190&gt;0,"Gain",IF(R190&lt;0,"Loss","Neutral"))</x:f>
        <x:v>Gain</x:v>
      </x:c>
    </x:row>
    <x:row r="191">
      <x:c r="A191" t="n">
        <x:v>190</x:v>
      </x:c>
      <x:c r="B191" s="12" t="n">
        <x:v>46120</x:v>
      </x:c>
      <x:c r="C191" t="str">
        <x:v>Apr 8</x:v>
      </x:c>
      <x:c r="D191" t="n">
        <x:v>30</x:v>
      </x:c>
      <x:c r="E191" t="n">
        <x:v>19</x:v>
      </x:c>
      <x:c r="F191" s="14" t="n">
        <x:v>10</x:v>
      </x:c>
      <x:c r="G191" t="str">
        <x:v>1mo ago</x:v>
      </x:c>
      <x:c r="H191" t="str">
        <x:v>Competitive</x:v>
      </x:c>
      <x:c r="I191" t="str">
        <x:v>Domination</x:v>
      </x:c>
      <x:c r="J191" t="str">
        <x:v>Birnin T'Challa</x:v>
      </x:c>
      <x:c r="K191" t="str">
        <x:v>Peni Parker</x:v>
      </x:c>
      <x:c r="L191" t="str">
        <x:v>Win</x:v>
      </x:c>
      <x:c r="M191" t="str"/>
      <x:c r="N191" t="n">
        <x:v>1</x:v>
      </x:c>
      <x:c r="O191" t="n">
        <x:v>0</x:v>
      </x:c>
      <x:c r="P191" t="str">
        <x:v>Diamond I</x:v>
      </x:c>
      <x:c r="Q191" t="n">
        <x:v>4444</x:v>
      </x:c>
      <x:c r="R191" s="14" t="n">
        <x:v>24</x:v>
      </x:c>
      <x:c r="S191" t="n">
        <x:v>14</x:v>
      </x:c>
      <x:c r="T191" t="n">
        <x:v>1</x:v>
      </x:c>
      <x:c r="U191" t="n">
        <x:v>12</x:v>
      </x:c>
      <x:c r="V191" s="16" t="n">
        <x:v>26</x:v>
      </x:c>
      <x:c r="W191" t="str">
        <x:v>Parsed from Tracker.gg MHTML/PDF export; competitive rows only.</x:v>
      </x:c>
      <x:c r="X191" t="n">
        <x:f>IF(L191="Win",1,0)</x:f>
        <x:v>1</x:v>
      </x:c>
      <x:c r="Y191" s="14" t="n">
        <x:f>IF(L191="Loss",1,0)</x:f>
        <x:v>0</x:v>
      </x:c>
      <x:c r="Z191" t="n">
        <x:f>IF(L191="Draw/Unknown",1,0)</x:f>
        <x:v>0</x:v>
      </x:c>
      <x:c r="AA191" s="16" t="str">
        <x:f>IF(OR(N191="",O191=""),"",N191-O191)</x:f>
      </x:c>
      <x:c r="AB191" s="16" t="n">
        <x:f>IF(T191=0,S191+U191,(S191+U191)/T191)</x:f>
        <x:v>26</x:v>
      </x:c>
      <x:c r="AC191" t="n">
        <x:f>S191+U191</x:f>
        <x:v>26</x:v>
      </x:c>
      <x:c r="AD191" t="n">
        <x:f>IF(T191=0,1,0)</x:f>
        <x:v>0</x:v>
      </x:c>
      <x:c r="AE191" t="str">
        <x:f>IF(R191&gt;0,"Gain",IF(R191&lt;0,"Loss","Neutral"))</x:f>
        <x:v>Gain</x:v>
      </x:c>
    </x:row>
    <x:row r="192">
      <x:c r="A192" t="n">
        <x:v>191</x:v>
      </x:c>
      <x:c r="B192" s="12" t="n">
        <x:v>46119</x:v>
      </x:c>
      <x:c r="C192" t="str">
        <x:v>Apr 7</x:v>
      </x:c>
      <x:c r="D192" t="n">
        <x:v>9</x:v>
      </x:c>
      <x:c r="E192" t="n">
        <x:v>4</x:v>
      </x:c>
      <x:c r="F192" s="14" t="n">
        <x:v>5</x:v>
      </x:c>
      <x:c r="G192" t="str">
        <x:v>1mo ago</x:v>
      </x:c>
      <x:c r="H192" t="str">
        <x:v>Competitive</x:v>
      </x:c>
      <x:c r="I192" t="str">
        <x:v>Convergence</x:v>
      </x:c>
      <x:c r="J192" t="str">
        <x:v>Hall Of Djalia</x:v>
      </x:c>
      <x:c r="K192" t="str">
        <x:v>Peni Parker</x:v>
      </x:c>
      <x:c r="L192" t="str">
        <x:v>Win</x:v>
      </x:c>
      <x:c r="M192" t="str"/>
      <x:c r="N192" t="n">
        <x:v>2</x:v>
      </x:c>
      <x:c r="O192" t="n">
        <x:v>3</x:v>
      </x:c>
      <x:c r="P192" t="str">
        <x:v>Diamond I</x:v>
      </x:c>
      <x:c r="Q192" t="n">
        <x:v>4420</x:v>
      </x:c>
      <x:c r="R192" s="14" t="n">
        <x:v>24</x:v>
      </x:c>
      <x:c r="S192" t="n">
        <x:v>35</x:v>
      </x:c>
      <x:c r="T192" t="n">
        <x:v>7</x:v>
      </x:c>
      <x:c r="U192" t="n">
        <x:v>19</x:v>
      </x:c>
      <x:c r="V192" s="16" t="n">
        <x:v>7.71</x:v>
      </x:c>
      <x:c r="W192" t="str">
        <x:v>Parsed from Tracker.gg MHTML/PDF export; competitive rows only.</x:v>
      </x:c>
      <x:c r="X192" t="n">
        <x:f>IF(L192="Win",1,0)</x:f>
        <x:v>1</x:v>
      </x:c>
      <x:c r="Y192" s="14" t="n">
        <x:f>IF(L192="Loss",1,0)</x:f>
        <x:v>0</x:v>
      </x:c>
      <x:c r="Z192" t="n">
        <x:f>IF(L192="Draw/Unknown",1,0)</x:f>
        <x:v>0</x:v>
      </x:c>
      <x:c r="AA192" s="16" t="n">
        <x:f>IF(OR(N192="",O192=""),"",N192-O192)</x:f>
        <x:v>-1</x:v>
      </x:c>
      <x:c r="AB192" s="16" t="n">
        <x:f>IF(T192=0,S192+U192,(S192+U192)/T192)</x:f>
        <x:v>7.714285714285714</x:v>
      </x:c>
      <x:c r="AC192" t="n">
        <x:f>S192+U192</x:f>
        <x:v>54</x:v>
      </x:c>
      <x:c r="AD192" t="n">
        <x:f>IF(T192=0,1,0)</x:f>
        <x:v>0</x:v>
      </x:c>
      <x:c r="AE192" t="str">
        <x:f>IF(R192&gt;0,"Gain",IF(R192&lt;0,"Loss","Neutral"))</x:f>
        <x:v>Gain</x:v>
      </x:c>
    </x:row>
    <x:row r="193">
      <x:c r="A193" t="n">
        <x:v>192</x:v>
      </x:c>
      <x:c r="B193" s="12" t="n">
        <x:v>46119</x:v>
      </x:c>
      <x:c r="C193" t="str">
        <x:v>Apr 7</x:v>
      </x:c>
      <x:c r="D193" t="n">
        <x:v>9</x:v>
      </x:c>
      <x:c r="E193" t="n">
        <x:v>4</x:v>
      </x:c>
      <x:c r="F193" s="14" t="n">
        <x:v>5</x:v>
      </x:c>
      <x:c r="G193" t="str">
        <x:v>1mo ago</x:v>
      </x:c>
      <x:c r="H193" t="str">
        <x:v>Competitive</x:v>
      </x:c>
      <x:c r="I193" t="str">
        <x:v>Convoy</x:v>
      </x:c>
      <x:c r="J193" t="str">
        <x:v>Midtown</x:v>
      </x:c>
      <x:c r="K193" t="str">
        <x:v>Peni Parker</x:v>
      </x:c>
      <x:c r="L193" t="str">
        <x:v>Win</x:v>
      </x:c>
      <x:c r="M193" t="str"/>
      <x:c r="N193" t="n">
        <x:v>0</x:v>
      </x:c>
      <x:c r="O193" t="n">
        <x:v>1</x:v>
      </x:c>
      <x:c r="P193" t="str">
        <x:v>Diamond II</x:v>
      </x:c>
      <x:c r="Q193" t="n">
        <x:v>4395</x:v>
      </x:c>
      <x:c r="R193" s="14" t="n">
        <x:v>23</x:v>
      </x:c>
      <x:c r="S193" t="n">
        <x:v>17</x:v>
      </x:c>
      <x:c r="T193" t="n">
        <x:v>2</x:v>
      </x:c>
      <x:c r="U193" t="n">
        <x:v>8</x:v>
      </x:c>
      <x:c r="V193" s="16" t="n">
        <x:v>12.5</x:v>
      </x:c>
      <x:c r="W193" t="str">
        <x:v>Parsed from Tracker.gg MHTML/PDF export; competitive rows only.</x:v>
      </x:c>
      <x:c r="X193" t="n">
        <x:f>IF(L193="Win",1,0)</x:f>
        <x:v>1</x:v>
      </x:c>
      <x:c r="Y193" s="14" t="n">
        <x:f>IF(L193="Loss",1,0)</x:f>
        <x:v>0</x:v>
      </x:c>
      <x:c r="Z193" t="n">
        <x:f>IF(L193="Draw/Unknown",1,0)</x:f>
        <x:v>0</x:v>
      </x:c>
      <x:c r="AA193" s="16" t="str">
        <x:f>IF(OR(N193="",O193=""),"",N193-O193)</x:f>
      </x:c>
      <x:c r="AB193" s="16" t="n">
        <x:f>IF(T193=0,S193+U193,(S193+U193)/T193)</x:f>
        <x:v>12.5</x:v>
      </x:c>
      <x:c r="AC193" t="n">
        <x:f>S193+U193</x:f>
        <x:v>25</x:v>
      </x:c>
      <x:c r="AD193" t="n">
        <x:f>IF(T193=0,1,0)</x:f>
        <x:v>0</x:v>
      </x:c>
      <x:c r="AE193" t="str">
        <x:f>IF(R193&gt;0,"Gain",IF(R193&lt;0,"Loss","Neutral"))</x:f>
        <x:v>Gain</x:v>
      </x:c>
    </x:row>
    <x:row r="194">
      <x:c r="A194" t="n">
        <x:v>193</x:v>
      </x:c>
      <x:c r="B194" s="12" t="n">
        <x:v>46119</x:v>
      </x:c>
      <x:c r="C194" t="str">
        <x:v>Apr 7</x:v>
      </x:c>
      <x:c r="D194" t="n">
        <x:v>9</x:v>
      </x:c>
      <x:c r="E194" t="n">
        <x:v>4</x:v>
      </x:c>
      <x:c r="F194" s="14" t="n">
        <x:v>5</x:v>
      </x:c>
      <x:c r="G194" t="str">
        <x:v>1mo ago</x:v>
      </x:c>
      <x:c r="H194" t="str">
        <x:v>Competitive</x:v>
      </x:c>
      <x:c r="I194" t="str">
        <x:v>Convoy</x:v>
      </x:c>
      <x:c r="J194" t="str">
        <x:v>Yggdrasill Path</x:v>
      </x:c>
      <x:c r="K194" t="str">
        <x:v>Angela</x:v>
      </x:c>
      <x:c r="L194" t="str">
        <x:v>Loss</x:v>
      </x:c>
      <x:c r="M194" t="str"/>
      <x:c r="N194" t="n">
        <x:v>1</x:v>
      </x:c>
      <x:c r="O194" t="n">
        <x:v>2</x:v>
      </x:c>
      <x:c r="P194" t="str">
        <x:v>Diamond II</x:v>
      </x:c>
      <x:c r="Q194" t="n">
        <x:v>4372</x:v>
      </x:c>
      <x:c r="R194" s="14" t="n">
        <x:v>-25</x:v>
      </x:c>
      <x:c r="S194" t="n">
        <x:v>9</x:v>
      </x:c>
      <x:c r="T194" t="n">
        <x:v>12</x:v>
      </x:c>
      <x:c r="U194" t="n">
        <x:v>2</x:v>
      </x:c>
      <x:c r="V194" s="16" t="n">
        <x:v>0.92</x:v>
      </x:c>
      <x:c r="W194" t="str">
        <x:v>Parsed from Tracker.gg MHTML/PDF export; competitive rows only.</x:v>
      </x:c>
      <x:c r="X194" t="n">
        <x:f>IF(L194="Win",1,0)</x:f>
        <x:v>0</x:v>
      </x:c>
      <x:c r="Y194" s="14" t="n">
        <x:f>IF(L194="Loss",1,0)</x:f>
        <x:v>1</x:v>
      </x:c>
      <x:c r="Z194" t="n">
        <x:f>IF(L194="Draw/Unknown",1,0)</x:f>
        <x:v>0</x:v>
      </x:c>
      <x:c r="AA194" s="16" t="n">
        <x:f>IF(OR(N194="",O194=""),"",N194-O194)</x:f>
        <x:v>-1</x:v>
      </x:c>
      <x:c r="AB194" s="16" t="n">
        <x:f>IF(T194=0,S194+U194,(S194+U194)/T194)</x:f>
        <x:v>0.9166666666666666</x:v>
      </x:c>
      <x:c r="AC194" t="n">
        <x:f>S194+U194</x:f>
        <x:v>11</x:v>
      </x:c>
      <x:c r="AD194" t="n">
        <x:f>IF(T194=0,1,0)</x:f>
        <x:v>0</x:v>
      </x:c>
      <x:c r="AE194" t="str">
        <x:f>IF(R194&gt;0,"Gain",IF(R194&lt;0,"Loss","Neutral"))</x:f>
        <x:v>Loss</x:v>
      </x:c>
    </x:row>
    <x:row r="195">
      <x:c r="A195" t="n">
        <x:v>194</x:v>
      </x:c>
      <x:c r="B195" s="12" t="n">
        <x:v>46119</x:v>
      </x:c>
      <x:c r="C195" t="str">
        <x:v>Apr 7</x:v>
      </x:c>
      <x:c r="D195" t="n">
        <x:v>9</x:v>
      </x:c>
      <x:c r="E195" t="n">
        <x:v>4</x:v>
      </x:c>
      <x:c r="F195" s="14" t="n">
        <x:v>5</x:v>
      </x:c>
      <x:c r="G195" t="str">
        <x:v>1mo ago</x:v>
      </x:c>
      <x:c r="H195" t="str">
        <x:v>Competitive</x:v>
      </x:c>
      <x:c r="I195" t="str">
        <x:v>Convergence</x:v>
      </x:c>
      <x:c r="J195" t="str">
        <x:v>Shin-Shibuya</x:v>
      </x:c>
      <x:c r="K195" t="str">
        <x:v>Squirrel Girl</x:v>
      </x:c>
      <x:c r="L195" t="str">
        <x:v>Win</x:v>
      </x:c>
      <x:c r="M195" t="str"/>
      <x:c r="N195" t="n">
        <x:v>3</x:v>
      </x:c>
      <x:c r="O195" t="n">
        <x:v>0</x:v>
      </x:c>
      <x:c r="P195" t="str">
        <x:v>Diamond II</x:v>
      </x:c>
      <x:c r="Q195" t="n">
        <x:v>4396</x:v>
      </x:c>
      <x:c r="R195" s="14" t="n">
        <x:v>27</x:v>
      </x:c>
      <x:c r="S195" t="n">
        <x:v>25</x:v>
      </x:c>
      <x:c r="T195" t="n">
        <x:v>5</x:v>
      </x:c>
      <x:c r="U195" t="n">
        <x:v>2</x:v>
      </x:c>
      <x:c r="V195" s="16" t="n">
        <x:v>5.4</x:v>
      </x:c>
      <x:c r="W195" t="str">
        <x:v>Parsed from Tracker.gg MHTML/PDF export; competitive rows only.</x:v>
      </x:c>
      <x:c r="X195" t="n">
        <x:f>IF(L195="Win",1,0)</x:f>
        <x:v>1</x:v>
      </x:c>
      <x:c r="Y195" s="14" t="n">
        <x:f>IF(L195="Loss",1,0)</x:f>
        <x:v>0</x:v>
      </x:c>
      <x:c r="Z195" t="n">
        <x:f>IF(L195="Draw/Unknown",1,0)</x:f>
        <x:v>0</x:v>
      </x:c>
      <x:c r="AA195" s="16" t="str">
        <x:f>IF(OR(N195="",O195=""),"",N195-O195)</x:f>
      </x:c>
      <x:c r="AB195" s="16" t="n">
        <x:f>IF(T195=0,S195+U195,(S195+U195)/T195)</x:f>
        <x:v>5.4</x:v>
      </x:c>
      <x:c r="AC195" t="n">
        <x:f>S195+U195</x:f>
        <x:v>27</x:v>
      </x:c>
      <x:c r="AD195" t="n">
        <x:f>IF(T195=0,1,0)</x:f>
        <x:v>0</x:v>
      </x:c>
      <x:c r="AE195" t="str">
        <x:f>IF(R195&gt;0,"Gain",IF(R195&lt;0,"Loss","Neutral"))</x:f>
        <x:v>Gain</x:v>
      </x:c>
    </x:row>
    <x:row r="196">
      <x:c r="A196" t="n">
        <x:v>195</x:v>
      </x:c>
      <x:c r="B196" s="12" t="n">
        <x:v>46119</x:v>
      </x:c>
      <x:c r="C196" t="str">
        <x:v>Apr 7</x:v>
      </x:c>
      <x:c r="D196" t="n">
        <x:v>9</x:v>
      </x:c>
      <x:c r="E196" t="n">
        <x:v>4</x:v>
      </x:c>
      <x:c r="F196" s="14" t="n">
        <x:v>5</x:v>
      </x:c>
      <x:c r="G196" t="str">
        <x:v>1mo ago</x:v>
      </x:c>
      <x:c r="H196" t="str">
        <x:v>Competitive</x:v>
      </x:c>
      <x:c r="I196" t="str">
        <x:v>Convoy</x:v>
      </x:c>
      <x:c r="J196" t="str">
        <x:v>Spider-Islands</x:v>
      </x:c>
      <x:c r="K196" t="str">
        <x:v>The Thing</x:v>
      </x:c>
      <x:c r="L196" t="str">
        <x:v>Loss</x:v>
      </x:c>
      <x:c r="M196" t="str"/>
      <x:c r="N196" t="n">
        <x:v>2</x:v>
      </x:c>
      <x:c r="O196" t="n">
        <x:v>0</x:v>
      </x:c>
      <x:c r="P196" t="str">
        <x:v>Diamond II</x:v>
      </x:c>
      <x:c r="Q196" t="n">
        <x:v>4369</x:v>
      </x:c>
      <x:c r="R196" s="14" t="n">
        <x:v>-20</x:v>
      </x:c>
      <x:c r="S196" t="n">
        <x:v>11</x:v>
      </x:c>
      <x:c r="T196" t="n">
        <x:v>10</x:v>
      </x:c>
      <x:c r="U196" t="n">
        <x:v>8</x:v>
      </x:c>
      <x:c r="V196" s="16" t="n">
        <x:v>1.9</x:v>
      </x:c>
      <x:c r="W196" t="str">
        <x:v>Parsed from Tracker.gg MHTML/PDF export; competitive rows only.</x:v>
      </x:c>
      <x:c r="X196" t="n">
        <x:f>IF(L196="Win",1,0)</x:f>
        <x:v>0</x:v>
      </x:c>
      <x:c r="Y196" s="14" t="n">
        <x:f>IF(L196="Loss",1,0)</x:f>
        <x:v>1</x:v>
      </x:c>
      <x:c r="Z196" t="n">
        <x:f>IF(L196="Draw/Unknown",1,0)</x:f>
        <x:v>0</x:v>
      </x:c>
      <x:c r="AA196" s="16" t="str">
        <x:f>IF(OR(N196="",O196=""),"",N196-O196)</x:f>
      </x:c>
      <x:c r="AB196" s="16" t="n">
        <x:f>IF(T196=0,S196+U196,(S196+U196)/T196)</x:f>
        <x:v>1.9</x:v>
      </x:c>
      <x:c r="AC196" t="n">
        <x:f>S196+U196</x:f>
        <x:v>19</x:v>
      </x:c>
      <x:c r="AD196" t="n">
        <x:f>IF(T196=0,1,0)</x:f>
        <x:v>0</x:v>
      </x:c>
      <x:c r="AE196" t="str">
        <x:f>IF(R196&gt;0,"Gain",IF(R196&lt;0,"Loss","Neutral"))</x:f>
        <x:v>Loss</x:v>
      </x:c>
    </x:row>
    <x:row r="197">
      <x:c r="A197" t="n">
        <x:v>196</x:v>
      </x:c>
      <x:c r="B197" s="12" t="n">
        <x:v>46119</x:v>
      </x:c>
      <x:c r="C197" t="str">
        <x:v>Apr 7</x:v>
      </x:c>
      <x:c r="D197" t="n">
        <x:v>9</x:v>
      </x:c>
      <x:c r="E197" t="n">
        <x:v>4</x:v>
      </x:c>
      <x:c r="F197" s="14" t="n">
        <x:v>5</x:v>
      </x:c>
      <x:c r="G197" t="str">
        <x:v>1mo ago</x:v>
      </x:c>
      <x:c r="H197" t="str">
        <x:v>Competitive</x:v>
      </x:c>
      <x:c r="I197" t="str">
        <x:v>Convoy</x:v>
      </x:c>
      <x:c r="J197" t="str">
        <x:v>Arakko</x:v>
      </x:c>
      <x:c r="K197" t="str">
        <x:v>The Thing</x:v>
      </x:c>
      <x:c r="L197" t="str">
        <x:v>Loss</x:v>
      </x:c>
      <x:c r="M197" t="str"/>
      <x:c r="N197" t="n">
        <x:v>0</x:v>
      </x:c>
      <x:c r="O197" t="n">
        <x:v>0</x:v>
      </x:c>
      <x:c r="P197" t="str">
        <x:v>Diamond I</x:v>
      </x:c>
      <x:c r="Q197" t="n">
        <x:v>4388</x:v>
      </x:c>
      <x:c r="R197" s="14" t="n">
        <x:v>-24</x:v>
      </x:c>
      <x:c r="S197" t="n">
        <x:v>0</x:v>
      </x:c>
      <x:c r="T197" t="n">
        <x:v>7</x:v>
      </x:c>
      <x:c r="U197" t="n">
        <x:v>0</x:v>
      </x:c>
      <x:c r="V197" s="16" t="n">
        <x:v>0</x:v>
      </x:c>
      <x:c r="W197" t="str">
        <x:v>Parsed from Tracker.gg MHTML/PDF export; competitive rows only.</x:v>
      </x:c>
      <x:c r="X197" t="n">
        <x:f>IF(L197="Win",1,0)</x:f>
        <x:v>0</x:v>
      </x:c>
      <x:c r="Y197" s="14" t="n">
        <x:f>IF(L197="Loss",1,0)</x:f>
        <x:v>1</x:v>
      </x:c>
      <x:c r="Z197" t="n">
        <x:f>IF(L197="Draw/Unknown",1,0)</x:f>
        <x:v>0</x:v>
      </x:c>
      <x:c r="AA197" s="16" t="str">
        <x:f>IF(OR(N197="",O197=""),"",N197-O197)</x:f>
      </x:c>
      <x:c r="AB197" s="16" t="n">
        <x:f>IF(T197=0,S197+U197,(S197+U197)/T197)</x:f>
        <x:v>0</x:v>
      </x:c>
      <x:c r="AC197" t="n">
        <x:f>S197+U197</x:f>
        <x:v>0</x:v>
      </x:c>
      <x:c r="AD197" t="n">
        <x:f>IF(T197=0,1,0)</x:f>
        <x:v>0</x:v>
      </x:c>
      <x:c r="AE197" t="str">
        <x:f>IF(R197&gt;0,"Gain",IF(R197&lt;0,"Loss","Neutral"))</x:f>
        <x:v>Loss</x:v>
      </x:c>
    </x:row>
    <x:row r="198">
      <x:c r="A198" t="n">
        <x:v>197</x:v>
      </x:c>
      <x:c r="B198" s="12" t="n">
        <x:v>46119</x:v>
      </x:c>
      <x:c r="C198" t="str">
        <x:v>Apr 7</x:v>
      </x:c>
      <x:c r="D198" t="n">
        <x:v>9</x:v>
      </x:c>
      <x:c r="E198" t="n">
        <x:v>4</x:v>
      </x:c>
      <x:c r="F198" s="14" t="n">
        <x:v>5</x:v>
      </x:c>
      <x:c r="G198" t="str">
        <x:v>1mo ago</x:v>
      </x:c>
      <x:c r="H198" t="str">
        <x:v>Competitive</x:v>
      </x:c>
      <x:c r="I198" t="str">
        <x:v>Domination</x:v>
      </x:c>
      <x:c r="J198" t="str">
        <x:v>Birnin T'Challa</x:v>
      </x:c>
      <x:c r="K198" t="str">
        <x:v>Peni Parker</x:v>
      </x:c>
      <x:c r="L198" t="str">
        <x:v>Loss</x:v>
      </x:c>
      <x:c r="M198" t="str"/>
      <x:c r="N198" t="n">
        <x:v>0</x:v>
      </x:c>
      <x:c r="O198" t="n">
        <x:v>2</x:v>
      </x:c>
      <x:c r="P198" t="str">
        <x:v>Diamond I</x:v>
      </x:c>
      <x:c r="Q198" t="n">
        <x:v>4412</x:v>
      </x:c>
      <x:c r="R198" s="14" t="n">
        <x:v>-18</x:v>
      </x:c>
      <x:c r="S198" t="n">
        <x:v>10</x:v>
      </x:c>
      <x:c r="T198" t="n">
        <x:v>9</x:v>
      </x:c>
      <x:c r="U198" t="n">
        <x:v>11</x:v>
      </x:c>
      <x:c r="V198" s="16" t="n">
        <x:v>2.33</x:v>
      </x:c>
      <x:c r="W198" t="str">
        <x:v>Parsed from Tracker.gg MHTML/PDF export; competitive rows only.</x:v>
      </x:c>
      <x:c r="X198" t="n">
        <x:f>IF(L198="Win",1,0)</x:f>
        <x:v>0</x:v>
      </x:c>
      <x:c r="Y198" s="14" t="n">
        <x:f>IF(L198="Loss",1,0)</x:f>
        <x:v>1</x:v>
      </x:c>
      <x:c r="Z198" t="n">
        <x:f>IF(L198="Draw/Unknown",1,0)</x:f>
        <x:v>0</x:v>
      </x:c>
      <x:c r="AA198" s="16" t="str">
        <x:f>IF(OR(N198="",O198=""),"",N198-O198)</x:f>
      </x:c>
      <x:c r="AB198" s="16" t="n">
        <x:f>IF(T198=0,S198+U198,(S198+U198)/T198)</x:f>
        <x:v>2.3333333333333335</x:v>
      </x:c>
      <x:c r="AC198" t="n">
        <x:f>S198+U198</x:f>
        <x:v>21</x:v>
      </x:c>
      <x:c r="AD198" t="n">
        <x:f>IF(T198=0,1,0)</x:f>
        <x:v>0</x:v>
      </x:c>
      <x:c r="AE198" t="str">
        <x:f>IF(R198&gt;0,"Gain",IF(R198&lt;0,"Loss","Neutral"))</x:f>
        <x:v>Loss</x:v>
      </x:c>
    </x:row>
    <x:row r="199">
      <x:c r="A199" t="n">
        <x:v>198</x:v>
      </x:c>
      <x:c r="B199" s="12" t="n">
        <x:v>46119</x:v>
      </x:c>
      <x:c r="C199" t="str">
        <x:v>Apr 7</x:v>
      </x:c>
      <x:c r="D199" t="n">
        <x:v>9</x:v>
      </x:c>
      <x:c r="E199" t="n">
        <x:v>4</x:v>
      </x:c>
      <x:c r="F199" s="14" t="n">
        <x:v>5</x:v>
      </x:c>
      <x:c r="G199" t="str">
        <x:v>1mo ago</x:v>
      </x:c>
      <x:c r="H199" t="str">
        <x:v>Competitive</x:v>
      </x:c>
      <x:c r="I199" t="str">
        <x:v>Convergence</x:v>
      </x:c>
      <x:c r="J199" t="str">
        <x:v>Shin-Shibuya</x:v>
      </x:c>
      <x:c r="K199" t="str">
        <x:v>Peni Parker</x:v>
      </x:c>
      <x:c r="L199" t="str">
        <x:v>Win</x:v>
      </x:c>
      <x:c r="M199" t="str"/>
      <x:c r="N199" t="n">
        <x:v>3</x:v>
      </x:c>
      <x:c r="O199" t="n">
        <x:v>1</x:v>
      </x:c>
      <x:c r="P199" t="str">
        <x:v>Diamond I</x:v>
      </x:c>
      <x:c r="Q199" t="n">
        <x:v>4429</x:v>
      </x:c>
      <x:c r="R199" s="14" t="n">
        <x:v>22</x:v>
      </x:c>
      <x:c r="S199" t="n">
        <x:v>31</x:v>
      </x:c>
      <x:c r="T199" t="n">
        <x:v>7</x:v>
      </x:c>
      <x:c r="U199" t="n">
        <x:v>18</x:v>
      </x:c>
      <x:c r="V199" s="16" t="n">
        <x:v>7</x:v>
      </x:c>
      <x:c r="W199" t="str">
        <x:v>Parsed from Tracker.gg MHTML/PDF export; competitive rows only.</x:v>
      </x:c>
      <x:c r="X199" t="n">
        <x:f>IF(L199="Win",1,0)</x:f>
        <x:v>1</x:v>
      </x:c>
      <x:c r="Y199" s="14" t="n">
        <x:f>IF(L199="Loss",1,0)</x:f>
        <x:v>0</x:v>
      </x:c>
      <x:c r="Z199" t="n">
        <x:f>IF(L199="Draw/Unknown",1,0)</x:f>
        <x:v>0</x:v>
      </x:c>
      <x:c r="AA199" s="16" t="n">
        <x:f>IF(OR(N199="",O199=""),"",N199-O199)</x:f>
        <x:v>2</x:v>
      </x:c>
      <x:c r="AB199" s="16" t="n">
        <x:f>IF(T199=0,S199+U199,(S199+U199)/T199)</x:f>
        <x:v>7</x:v>
      </x:c>
      <x:c r="AC199" t="n">
        <x:f>S199+U199</x:f>
        <x:v>49</x:v>
      </x:c>
      <x:c r="AD199" t="n">
        <x:f>IF(T199=0,1,0)</x:f>
        <x:v>0</x:v>
      </x:c>
      <x:c r="AE199" t="str">
        <x:f>IF(R199&gt;0,"Gain",IF(R199&lt;0,"Loss","Neutral"))</x:f>
        <x:v>Gain</x:v>
      </x:c>
    </x:row>
    <x:row r="200">
      <x:c r="A200" t="n">
        <x:v>199</x:v>
      </x:c>
      <x:c r="B200" s="12" t="n">
        <x:v>46117</x:v>
      </x:c>
      <x:c r="C200" t="str">
        <x:v>Apr 5</x:v>
      </x:c>
      <x:c r="D200" t="n">
        <x:v>21</x:v>
      </x:c>
      <x:c r="E200" t="n">
        <x:v>8</x:v>
      </x:c>
      <x:c r="F200" s="14" t="n">
        <x:v>12</x:v>
      </x:c>
      <x:c r="G200" t="str">
        <x:v>1mo ago</x:v>
      </x:c>
      <x:c r="H200" t="str">
        <x:v>Competitive</x:v>
      </x:c>
      <x:c r="I200" t="str">
        <x:v>Domination</x:v>
      </x:c>
      <x:c r="J200" t="str">
        <x:v>Hell's Heaven</x:v>
      </x:c>
      <x:c r="K200" t="str">
        <x:v>Cloak &amp; Dagger</x:v>
      </x:c>
      <x:c r="L200" t="str">
        <x:v>Win</x:v>
      </x:c>
      <x:c r="M200" t="str"/>
      <x:c r="N200" t="n">
        <x:v>2</x:v>
      </x:c>
      <x:c r="O200" t="n">
        <x:v>0</x:v>
      </x:c>
      <x:c r="P200" t="str">
        <x:v>Diamond I</x:v>
      </x:c>
      <x:c r="Q200" t="n">
        <x:v>4406</x:v>
      </x:c>
      <x:c r="R200" s="14" t="n">
        <x:v>27</x:v>
      </x:c>
      <x:c r="S200" t="n">
        <x:v>13</x:v>
      </x:c>
      <x:c r="T200" t="n">
        <x:v>4</x:v>
      </x:c>
      <x:c r="U200" t="n">
        <x:v>16</x:v>
      </x:c>
      <x:c r="V200" s="16" t="n">
        <x:v>7.25</x:v>
      </x:c>
      <x:c r="W200" t="str">
        <x:v>Parsed from Tracker.gg MHTML/PDF export; competitive rows only.</x:v>
      </x:c>
      <x:c r="X200" t="n">
        <x:f>IF(L200="Win",1,0)</x:f>
        <x:v>1</x:v>
      </x:c>
      <x:c r="Y200" s="14" t="n">
        <x:f>IF(L200="Loss",1,0)</x:f>
        <x:v>0</x:v>
      </x:c>
      <x:c r="Z200" t="n">
        <x:f>IF(L200="Draw/Unknown",1,0)</x:f>
        <x:v>0</x:v>
      </x:c>
      <x:c r="AA200" s="16" t="str">
        <x:f>IF(OR(N200="",O200=""),"",N200-O200)</x:f>
      </x:c>
      <x:c r="AB200" s="16" t="n">
        <x:f>IF(T200=0,S200+U200,(S200+U200)/T200)</x:f>
        <x:v>7.25</x:v>
      </x:c>
      <x:c r="AC200" t="n">
        <x:f>S200+U200</x:f>
        <x:v>29</x:v>
      </x:c>
      <x:c r="AD200" t="n">
        <x:f>IF(T200=0,1,0)</x:f>
        <x:v>0</x:v>
      </x:c>
      <x:c r="AE200" t="str">
        <x:f>IF(R200&gt;0,"Gain",IF(R200&lt;0,"Loss","Neutral"))</x:f>
        <x:v>Gain</x:v>
      </x:c>
    </x:row>
    <x:row r="201">
      <x:c r="A201" t="n">
        <x:v>200</x:v>
      </x:c>
      <x:c r="B201" s="12" t="n">
        <x:v>46117</x:v>
      </x:c>
      <x:c r="C201" t="str">
        <x:v>Apr 5</x:v>
      </x:c>
      <x:c r="D201" t="n">
        <x:v>21</x:v>
      </x:c>
      <x:c r="E201" t="n">
        <x:v>8</x:v>
      </x:c>
      <x:c r="F201" s="14" t="n">
        <x:v>12</x:v>
      </x:c>
      <x:c r="G201" t="str">
        <x:v>1mo ago</x:v>
      </x:c>
      <x:c r="H201" t="str">
        <x:v>Competitive</x:v>
      </x:c>
      <x:c r="I201" t="str">
        <x:v>Convoy</x:v>
      </x:c>
      <x:c r="J201" t="str">
        <x:v>Arakko</x:v>
      </x:c>
      <x:c r="K201" t="str">
        <x:v>The Thing</x:v>
      </x:c>
      <x:c r="L201" t="str">
        <x:v>Loss</x:v>
      </x:c>
      <x:c r="M201" t="str"/>
      <x:c r="N201" t="n">
        <x:v>3</x:v>
      </x:c>
      <x:c r="O201" t="n">
        <x:v>1</x:v>
      </x:c>
      <x:c r="P201" t="str">
        <x:v>Diamond II</x:v>
      </x:c>
      <x:c r="Q201" t="n">
        <x:v>4378</x:v>
      </x:c>
      <x:c r="R201" s="14" t="n">
        <x:v>-19</x:v>
      </x:c>
      <x:c r="S201" t="n">
        <x:v>25</x:v>
      </x:c>
      <x:c r="T201" t="n">
        <x:v>14</x:v>
      </x:c>
      <x:c r="U201" t="n">
        <x:v>7</x:v>
      </x:c>
      <x:c r="V201" s="16" t="n">
        <x:v>2.29</x:v>
      </x:c>
      <x:c r="W201" t="str">
        <x:v>Parsed from Tracker.gg MHTML/PDF export; competitive rows only.</x:v>
      </x:c>
      <x:c r="X201" t="n">
        <x:f>IF(L201="Win",1,0)</x:f>
        <x:v>0</x:v>
      </x:c>
      <x:c r="Y201" s="14" t="n">
        <x:f>IF(L201="Loss",1,0)</x:f>
        <x:v>1</x:v>
      </x:c>
      <x:c r="Z201" t="n">
        <x:f>IF(L201="Draw/Unknown",1,0)</x:f>
        <x:v>0</x:v>
      </x:c>
      <x:c r="AA201" s="16" t="n">
        <x:f>IF(OR(N201="",O201=""),"",N201-O201)</x:f>
        <x:v>2</x:v>
      </x:c>
      <x:c r="AB201" s="16" t="n">
        <x:f>IF(T201=0,S201+U201,(S201+U201)/T201)</x:f>
        <x:v>2.2857142857142856</x:v>
      </x:c>
      <x:c r="AC201" t="n">
        <x:f>S201+U201</x:f>
        <x:v>32</x:v>
      </x:c>
      <x:c r="AD201" t="n">
        <x:f>IF(T201=0,1,0)</x:f>
        <x:v>0</x:v>
      </x:c>
      <x:c r="AE201" t="str">
        <x:f>IF(R201&gt;0,"Gain",IF(R201&lt;0,"Loss","Neutral"))</x:f>
        <x:v>Loss</x:v>
      </x:c>
    </x:row>
    <x:row r="202">
      <x:c r="A202" t="n">
        <x:v>201</x:v>
      </x:c>
      <x:c r="B202" s="12" t="n">
        <x:v>46117</x:v>
      </x:c>
      <x:c r="C202" t="str">
        <x:v>Apr 5</x:v>
      </x:c>
      <x:c r="D202" t="n">
        <x:v>21</x:v>
      </x:c>
      <x:c r="E202" t="n">
        <x:v>8</x:v>
      </x:c>
      <x:c r="F202" s="14" t="n">
        <x:v>12</x:v>
      </x:c>
      <x:c r="G202" t="str">
        <x:v>1mo ago</x:v>
      </x:c>
      <x:c r="H202" t="str">
        <x:v>Competitive</x:v>
      </x:c>
      <x:c r="I202" t="str">
        <x:v>Convergence</x:v>
      </x:c>
      <x:c r="J202" t="str">
        <x:v>Central Park</x:v>
      </x:c>
      <x:c r="K202" t="str">
        <x:v>Namor</x:v>
      </x:c>
      <x:c r="L202" t="str">
        <x:v>Win</x:v>
      </x:c>
      <x:c r="M202" t="str"/>
      <x:c r="N202" t="n">
        <x:v>1</x:v>
      </x:c>
      <x:c r="O202" t="n">
        <x:v>0</x:v>
      </x:c>
      <x:c r="P202" t="str">
        <x:v>Diamond II</x:v>
      </x:c>
      <x:c r="Q202" t="n">
        <x:v>4397</x:v>
      </x:c>
      <x:c r="R202" s="14" t="n">
        <x:v>24</x:v>
      </x:c>
      <x:c r="S202" t="n">
        <x:v>20</x:v>
      </x:c>
      <x:c r="T202" t="n">
        <x:v>9</x:v>
      </x:c>
      <x:c r="U202" t="n">
        <x:v>6</x:v>
      </x:c>
      <x:c r="V202" s="16" t="n">
        <x:v>2.89</x:v>
      </x:c>
      <x:c r="W202" t="str">
        <x:v>Parsed from Tracker.gg MHTML/PDF export; competitive rows only.</x:v>
      </x:c>
      <x:c r="X202" t="n">
        <x:f>IF(L202="Win",1,0)</x:f>
        <x:v>1</x:v>
      </x:c>
      <x:c r="Y202" s="14" t="n">
        <x:f>IF(L202="Loss",1,0)</x:f>
        <x:v>0</x:v>
      </x:c>
      <x:c r="Z202" t="n">
        <x:f>IF(L202="Draw/Unknown",1,0)</x:f>
        <x:v>0</x:v>
      </x:c>
      <x:c r="AA202" s="16" t="str">
        <x:f>IF(OR(N202="",O202=""),"",N202-O202)</x:f>
      </x:c>
      <x:c r="AB202" s="16" t="n">
        <x:f>IF(T202=0,S202+U202,(S202+U202)/T202)</x:f>
        <x:v>2.888888888888889</x:v>
      </x:c>
      <x:c r="AC202" t="n">
        <x:f>S202+U202</x:f>
        <x:v>26</x:v>
      </x:c>
      <x:c r="AD202" t="n">
        <x:f>IF(T202=0,1,0)</x:f>
        <x:v>0</x:v>
      </x:c>
      <x:c r="AE202" t="str">
        <x:f>IF(R202&gt;0,"Gain",IF(R202&lt;0,"Loss","Neutral"))</x:f>
        <x:v>Gain</x:v>
      </x:c>
    </x:row>
    <x:row r="203">
      <x:c r="A203" t="n">
        <x:v>202</x:v>
      </x:c>
      <x:c r="B203" s="12" t="n">
        <x:v>46117</x:v>
      </x:c>
      <x:c r="C203" t="str">
        <x:v>Apr 5</x:v>
      </x:c>
      <x:c r="D203" t="n">
        <x:v>21</x:v>
      </x:c>
      <x:c r="E203" t="n">
        <x:v>8</x:v>
      </x:c>
      <x:c r="F203" s="14" t="n">
        <x:v>12</x:v>
      </x:c>
      <x:c r="G203" t="str">
        <x:v>1mo ago</x:v>
      </x:c>
      <x:c r="H203" t="str">
        <x:v>Competitive</x:v>
      </x:c>
      <x:c r="I203" t="str">
        <x:v>Convergence</x:v>
      </x:c>
      <x:c r="J203" t="str">
        <x:v>Hall Of Djalia</x:v>
      </x:c>
      <x:c r="K203" t="str">
        <x:v>The Thing</x:v>
      </x:c>
      <x:c r="L203" t="str">
        <x:v>Loss</x:v>
      </x:c>
      <x:c r="M203" t="str">
        <x:v>SVP</x:v>
      </x:c>
      <x:c r="N203" t="n">
        <x:v>3</x:v>
      </x:c>
      <x:c r="O203" t="n">
        <x:v>4</x:v>
      </x:c>
      <x:c r="P203" t="str">
        <x:v>Diamond II</x:v>
      </x:c>
      <x:c r="Q203" t="n">
        <x:v>4373</x:v>
      </x:c>
      <x:c r="R203" s="14" t="n">
        <x:v>-10</x:v>
      </x:c>
      <x:c r="S203" t="n">
        <x:v>31</x:v>
      </x:c>
      <x:c r="T203" t="n">
        <x:v>15</x:v>
      </x:c>
      <x:c r="U203" t="n">
        <x:v>12</x:v>
      </x:c>
      <x:c r="V203" s="16" t="n">
        <x:v>2.87</x:v>
      </x:c>
      <x:c r="W203" t="str">
        <x:v>Parsed from Tracker.gg MHTML/PDF export; competitive rows only.</x:v>
      </x:c>
      <x:c r="X203" t="n">
        <x:f>IF(L203="Win",1,0)</x:f>
        <x:v>0</x:v>
      </x:c>
      <x:c r="Y203" s="14" t="n">
        <x:f>IF(L203="Loss",1,0)</x:f>
        <x:v>1</x:v>
      </x:c>
      <x:c r="Z203" t="n">
        <x:f>IF(L203="Draw/Unknown",1,0)</x:f>
        <x:v>0</x:v>
      </x:c>
      <x:c r="AA203" s="16" t="n">
        <x:f>IF(OR(N203="",O203=""),"",N203-O203)</x:f>
        <x:v>-1</x:v>
      </x:c>
      <x:c r="AB203" s="16" t="n">
        <x:f>IF(T203=0,S203+U203,(S203+U203)/T203)</x:f>
        <x:v>2.8666666666666667</x:v>
      </x:c>
      <x:c r="AC203" t="n">
        <x:f>S203+U203</x:f>
        <x:v>43</x:v>
      </x:c>
      <x:c r="AD203" t="n">
        <x:f>IF(T203=0,1,0)</x:f>
        <x:v>0</x:v>
      </x:c>
      <x:c r="AE203" t="str">
        <x:f>IF(R203&gt;0,"Gain",IF(R203&lt;0,"Loss","Neutral"))</x:f>
        <x:v>Loss</x:v>
      </x:c>
    </x:row>
    <x:row r="204">
      <x:c r="A204" t="n">
        <x:v>203</x:v>
      </x:c>
      <x:c r="B204" s="12" t="n">
        <x:v>46117</x:v>
      </x:c>
      <x:c r="C204" t="str">
        <x:v>Apr 5</x:v>
      </x:c>
      <x:c r="D204" t="n">
        <x:v>21</x:v>
      </x:c>
      <x:c r="E204" t="n">
        <x:v>8</x:v>
      </x:c>
      <x:c r="F204" s="14" t="n">
        <x:v>12</x:v>
      </x:c>
      <x:c r="G204" t="str">
        <x:v>1mo ago</x:v>
      </x:c>
      <x:c r="H204" t="str">
        <x:v>Competitive</x:v>
      </x:c>
      <x:c r="I204" t="str">
        <x:v>Convoy</x:v>
      </x:c>
      <x:c r="J204" t="str">
        <x:v>Spider-Islands</x:v>
      </x:c>
      <x:c r="K204" t="str">
        <x:v>Groot</x:v>
      </x:c>
      <x:c r="L204" t="str">
        <x:v>Win</x:v>
      </x:c>
      <x:c r="M204" t="str"/>
      <x:c r="N204" t="n">
        <x:v>4</x:v>
      </x:c>
      <x:c r="O204" t="n">
        <x:v>3</x:v>
      </x:c>
      <x:c r="P204" t="str">
        <x:v>Diamond II</x:v>
      </x:c>
      <x:c r="Q204" t="n">
        <x:v>4382</x:v>
      </x:c>
      <x:c r="R204" s="14" t="n">
        <x:v>23</x:v>
      </x:c>
      <x:c r="S204" t="n">
        <x:v>41</x:v>
      </x:c>
      <x:c r="T204" t="n">
        <x:v>9</x:v>
      </x:c>
      <x:c r="U204" t="n">
        <x:v>15</x:v>
      </x:c>
      <x:c r="V204" s="16" t="n">
        <x:v>6.22</x:v>
      </x:c>
      <x:c r="W204" t="str">
        <x:v>Parsed from Tracker.gg MHTML/PDF export; competitive rows only.</x:v>
      </x:c>
      <x:c r="X204" t="n">
        <x:f>IF(L204="Win",1,0)</x:f>
        <x:v>1</x:v>
      </x:c>
      <x:c r="Y204" s="14" t="n">
        <x:f>IF(L204="Loss",1,0)</x:f>
        <x:v>0</x:v>
      </x:c>
      <x:c r="Z204" t="n">
        <x:f>IF(L204="Draw/Unknown",1,0)</x:f>
        <x:v>0</x:v>
      </x:c>
      <x:c r="AA204" s="16" t="n">
        <x:f>IF(OR(N204="",O204=""),"",N204-O204)</x:f>
        <x:v>1</x:v>
      </x:c>
      <x:c r="AB204" s="16" t="n">
        <x:f>IF(T204=0,S204+U204,(S204+U204)/T204)</x:f>
        <x:v>6.222222222222222</x:v>
      </x:c>
      <x:c r="AC204" t="n">
        <x:f>S204+U204</x:f>
        <x:v>56</x:v>
      </x:c>
      <x:c r="AD204" t="n">
        <x:f>IF(T204=0,1,0)</x:f>
        <x:v>0</x:v>
      </x:c>
      <x:c r="AE204" t="str">
        <x:f>IF(R204&gt;0,"Gain",IF(R204&lt;0,"Loss","Neutral"))</x:f>
        <x:v>Gain</x:v>
      </x:c>
    </x:row>
    <x:row r="205">
      <x:c r="A205" t="n">
        <x:v>204</x:v>
      </x:c>
      <x:c r="B205" s="12" t="n">
        <x:v>46117</x:v>
      </x:c>
      <x:c r="C205" t="str">
        <x:v>Apr 5</x:v>
      </x:c>
      <x:c r="D205" t="n">
        <x:v>21</x:v>
      </x:c>
      <x:c r="E205" t="n">
        <x:v>8</x:v>
      </x:c>
      <x:c r="F205" s="14" t="n">
        <x:v>12</x:v>
      </x:c>
      <x:c r="G205" t="str">
        <x:v>1mo ago</x:v>
      </x:c>
      <x:c r="H205" t="str">
        <x:v>Competitive</x:v>
      </x:c>
      <x:c r="I205" t="str">
        <x:v>Convoy</x:v>
      </x:c>
      <x:c r="J205" t="str">
        <x:v>Midtown</x:v>
      </x:c>
      <x:c r="K205" t="str">
        <x:v>Groot</x:v>
      </x:c>
      <x:c r="L205" t="str">
        <x:v>Loss</x:v>
      </x:c>
      <x:c r="M205" t="str"/>
      <x:c r="N205" t="n">
        <x:v>4</x:v>
      </x:c>
      <x:c r="O205" t="n">
        <x:v>5</x:v>
      </x:c>
      <x:c r="P205" t="str">
        <x:v>Diamond II</x:v>
      </x:c>
      <x:c r="Q205" t="n">
        <x:v>4358</x:v>
      </x:c>
      <x:c r="R205" s="14" t="n">
        <x:v>-22</x:v>
      </x:c>
      <x:c r="S205" t="n">
        <x:v>33</x:v>
      </x:c>
      <x:c r="T205" t="n">
        <x:v>19</x:v>
      </x:c>
      <x:c r="U205" t="n">
        <x:v>9</x:v>
      </x:c>
      <x:c r="V205" s="16" t="n">
        <x:v>2.21</x:v>
      </x:c>
      <x:c r="W205" t="str">
        <x:v>Parsed from Tracker.gg MHTML/PDF export; competitive rows only.</x:v>
      </x:c>
      <x:c r="X205" t="n">
        <x:f>IF(L205="Win",1,0)</x:f>
        <x:v>0</x:v>
      </x:c>
      <x:c r="Y205" s="14" t="n">
        <x:f>IF(L205="Loss",1,0)</x:f>
        <x:v>1</x:v>
      </x:c>
      <x:c r="Z205" t="n">
        <x:f>IF(L205="Draw/Unknown",1,0)</x:f>
        <x:v>0</x:v>
      </x:c>
      <x:c r="AA205" s="16" t="n">
        <x:f>IF(OR(N205="",O205=""),"",N205-O205)</x:f>
        <x:v>-1</x:v>
      </x:c>
      <x:c r="AB205" s="16" t="n">
        <x:f>IF(T205=0,S205+U205,(S205+U205)/T205)</x:f>
        <x:v>2.210526315789474</x:v>
      </x:c>
      <x:c r="AC205" t="n">
        <x:f>S205+U205</x:f>
        <x:v>42</x:v>
      </x:c>
      <x:c r="AD205" t="n">
        <x:f>IF(T205=0,1,0)</x:f>
        <x:v>0</x:v>
      </x:c>
      <x:c r="AE205" t="str">
        <x:f>IF(R205&gt;0,"Gain",IF(R205&lt;0,"Loss","Neutral"))</x:f>
        <x:v>Loss</x:v>
      </x:c>
    </x:row>
    <x:row r="206">
      <x:c r="A206" t="n">
        <x:v>205</x:v>
      </x:c>
      <x:c r="B206" s="12" t="n">
        <x:v>46117</x:v>
      </x:c>
      <x:c r="C206" t="str">
        <x:v>Apr 5</x:v>
      </x:c>
      <x:c r="D206" t="n">
        <x:v>21</x:v>
      </x:c>
      <x:c r="E206" t="n">
        <x:v>8</x:v>
      </x:c>
      <x:c r="F206" s="14" t="n">
        <x:v>12</x:v>
      </x:c>
      <x:c r="G206" t="str">
        <x:v>1mo ago</x:v>
      </x:c>
      <x:c r="H206" t="str">
        <x:v>Competitive</x:v>
      </x:c>
      <x:c r="I206" t="str">
        <x:v>Convergence</x:v>
      </x:c>
      <x:c r="J206" t="str">
        <x:v>Heart Of Heaven</x:v>
      </x:c>
      <x:c r="K206" t="str">
        <x:v>Hela</x:v>
      </x:c>
      <x:c r="L206" t="str">
        <x:v>Loss</x:v>
      </x:c>
      <x:c r="M206" t="str"/>
      <x:c r="N206" t="n">
        <x:v>4</x:v>
      </x:c>
      <x:c r="O206" t="n">
        <x:v>3</x:v>
      </x:c>
      <x:c r="P206" t="str">
        <x:v>Diamond I</x:v>
      </x:c>
      <x:c r="Q206" t="n">
        <x:v>4379</x:v>
      </x:c>
      <x:c r="R206" s="14" t="n">
        <x:v>-21</x:v>
      </x:c>
      <x:c r="S206" t="n">
        <x:v>44</x:v>
      </x:c>
      <x:c r="T206" t="n">
        <x:v>27</x:v>
      </x:c>
      <x:c r="U206" t="n">
        <x:v>20</x:v>
      </x:c>
      <x:c r="V206" s="16" t="n">
        <x:v>2.37</x:v>
      </x:c>
      <x:c r="W206" t="str">
        <x:v>Parsed from Tracker.gg MHTML/PDF export; competitive rows only.</x:v>
      </x:c>
      <x:c r="X206" t="n">
        <x:f>IF(L206="Win",1,0)</x:f>
        <x:v>0</x:v>
      </x:c>
      <x:c r="Y206" s="14" t="n">
        <x:f>IF(L206="Loss",1,0)</x:f>
        <x:v>1</x:v>
      </x:c>
      <x:c r="Z206" t="n">
        <x:f>IF(L206="Draw/Unknown",1,0)</x:f>
        <x:v>0</x:v>
      </x:c>
      <x:c r="AA206" s="16" t="n">
        <x:f>IF(OR(N206="",O206=""),"",N206-O206)</x:f>
        <x:v>1</x:v>
      </x:c>
      <x:c r="AB206" s="16" t="n">
        <x:f>IF(T206=0,S206+U206,(S206+U206)/T206)</x:f>
        <x:v>2.3703703703703702</x:v>
      </x:c>
      <x:c r="AC206" t="n">
        <x:f>S206+U206</x:f>
        <x:v>64</x:v>
      </x:c>
      <x:c r="AD206" t="n">
        <x:f>IF(T206=0,1,0)</x:f>
        <x:v>0</x:v>
      </x:c>
      <x:c r="AE206" t="str">
        <x:f>IF(R206&gt;0,"Gain",IF(R206&lt;0,"Loss","Neutral"))</x:f>
        <x:v>Loss</x:v>
      </x:c>
    </x:row>
    <x:row r="207">
      <x:c r="A207" t="n">
        <x:v>206</x:v>
      </x:c>
      <x:c r="B207" s="12" t="n">
        <x:v>46117</x:v>
      </x:c>
      <x:c r="C207" t="str">
        <x:v>Apr 5</x:v>
      </x:c>
      <x:c r="D207" t="n">
        <x:v>21</x:v>
      </x:c>
      <x:c r="E207" t="n">
        <x:v>8</x:v>
      </x:c>
      <x:c r="F207" s="14" t="n">
        <x:v>12</x:v>
      </x:c>
      <x:c r="G207" t="str">
        <x:v>1mo ago</x:v>
      </x:c>
      <x:c r="H207" t="str">
        <x:v>Competitive</x:v>
      </x:c>
      <x:c r="I207" t="str">
        <x:v>Convergence</x:v>
      </x:c>
      <x:c r="J207" t="str">
        <x:v>Central Park</x:v>
      </x:c>
      <x:c r="K207" t="str">
        <x:v>Squirrel Girl</x:v>
      </x:c>
      <x:c r="L207" t="str">
        <x:v>Loss</x:v>
      </x:c>
      <x:c r="M207" t="str"/>
      <x:c r="N207" t="n">
        <x:v>3</x:v>
      </x:c>
      <x:c r="O207" t="n">
        <x:v>2</x:v>
      </x:c>
      <x:c r="P207" t="str">
        <x:v>Diamond I</x:v>
      </x:c>
      <x:c r="Q207" t="n">
        <x:v>4400</x:v>
      </x:c>
      <x:c r="R207" s="14" t="n">
        <x:v>-19</x:v>
      </x:c>
      <x:c r="S207" t="n">
        <x:v>20</x:v>
      </x:c>
      <x:c r="T207" t="n">
        <x:v>15</x:v>
      </x:c>
      <x:c r="U207" t="n">
        <x:v>2</x:v>
      </x:c>
      <x:c r="V207" s="16" t="n">
        <x:v>1.47</x:v>
      </x:c>
      <x:c r="W207" t="str">
        <x:v>Parsed from Tracker.gg MHTML/PDF export; competitive rows only.</x:v>
      </x:c>
      <x:c r="X207" t="n">
        <x:f>IF(L207="Win",1,0)</x:f>
        <x:v>0</x:v>
      </x:c>
      <x:c r="Y207" s="14" t="n">
        <x:f>IF(L207="Loss",1,0)</x:f>
        <x:v>1</x:v>
      </x:c>
      <x:c r="Z207" t="n">
        <x:f>IF(L207="Draw/Unknown",1,0)</x:f>
        <x:v>0</x:v>
      </x:c>
      <x:c r="AA207" s="16" t="n">
        <x:f>IF(OR(N207="",O207=""),"",N207-O207)</x:f>
        <x:v>1</x:v>
      </x:c>
      <x:c r="AB207" s="16" t="n">
        <x:f>IF(T207=0,S207+U207,(S207+U207)/T207)</x:f>
        <x:v>1.4666666666666666</x:v>
      </x:c>
      <x:c r="AC207" t="n">
        <x:f>S207+U207</x:f>
        <x:v>22</x:v>
      </x:c>
      <x:c r="AD207" t="n">
        <x:f>IF(T207=0,1,0)</x:f>
        <x:v>0</x:v>
      </x:c>
      <x:c r="AE207" t="str">
        <x:f>IF(R207&gt;0,"Gain",IF(R207&lt;0,"Loss","Neutral"))</x:f>
        <x:v>Loss</x:v>
      </x:c>
    </x:row>
    <x:row r="208">
      <x:c r="A208" t="n">
        <x:v>207</x:v>
      </x:c>
      <x:c r="B208" s="12" t="n">
        <x:v>46116</x:v>
      </x:c>
      <x:c r="C208" t="str">
        <x:v>Apr 4</x:v>
      </x:c>
      <x:c r="D208" t="n">
        <x:v>40</x:v>
      </x:c>
      <x:c r="E208" t="n">
        <x:v>23</x:v>
      </x:c>
      <x:c r="F208" s="14" t="n">
        <x:v>16</x:v>
      </x:c>
      <x:c r="G208" t="str">
        <x:v>1mo ago</x:v>
      </x:c>
      <x:c r="H208" t="str">
        <x:v>Competitive</x:v>
      </x:c>
      <x:c r="I208" t="str">
        <x:v>Domination</x:v>
      </x:c>
      <x:c r="J208" t="str">
        <x:v>Celestial Husk</x:v>
      </x:c>
      <x:c r="K208" t="str">
        <x:v>Peni Parker</x:v>
      </x:c>
      <x:c r="L208" t="str">
        <x:v>Loss</x:v>
      </x:c>
      <x:c r="M208" t="str"/>
      <x:c r="N208" t="n">
        <x:v>2</x:v>
      </x:c>
      <x:c r="O208" t="n">
        <x:v>1</x:v>
      </x:c>
      <x:c r="P208" t="str">
        <x:v>Diamond I</x:v>
      </x:c>
      <x:c r="Q208" t="n">
        <x:v>4419</x:v>
      </x:c>
      <x:c r="R208" s="14" t="n">
        <x:v>-24</x:v>
      </x:c>
      <x:c r="S208" t="n">
        <x:v>14</x:v>
      </x:c>
      <x:c r="T208" t="n">
        <x:v>12</x:v>
      </x:c>
      <x:c r="U208" t="n">
        <x:v>12</x:v>
      </x:c>
      <x:c r="V208" s="16" t="n">
        <x:v>2.17</x:v>
      </x:c>
      <x:c r="W208" t="str">
        <x:v>Parsed from Tracker.gg MHTML/PDF export; competitive rows only.</x:v>
      </x:c>
      <x:c r="X208" t="n">
        <x:f>IF(L208="Win",1,0)</x:f>
        <x:v>0</x:v>
      </x:c>
      <x:c r="Y208" s="14" t="n">
        <x:f>IF(L208="Loss",1,0)</x:f>
        <x:v>1</x:v>
      </x:c>
      <x:c r="Z208" t="n">
        <x:f>IF(L208="Draw/Unknown",1,0)</x:f>
        <x:v>0</x:v>
      </x:c>
      <x:c r="AA208" s="16" t="n">
        <x:f>IF(OR(N208="",O208=""),"",N208-O208)</x:f>
        <x:v>1</x:v>
      </x:c>
      <x:c r="AB208" s="16" t="n">
        <x:f>IF(T208=0,S208+U208,(S208+U208)/T208)</x:f>
        <x:v>2.1666666666666665</x:v>
      </x:c>
      <x:c r="AC208" t="n">
        <x:f>S208+U208</x:f>
        <x:v>26</x:v>
      </x:c>
      <x:c r="AD208" t="n">
        <x:f>IF(T208=0,1,0)</x:f>
        <x:v>0</x:v>
      </x:c>
      <x:c r="AE208" t="str">
        <x:f>IF(R208&gt;0,"Gain",IF(R208&lt;0,"Loss","Neutral"))</x:f>
        <x:v>Loss</x:v>
      </x:c>
    </x:row>
    <x:row r="209">
      <x:c r="A209" t="n">
        <x:v>208</x:v>
      </x:c>
      <x:c r="B209" s="12" t="n">
        <x:v>46116</x:v>
      </x:c>
      <x:c r="C209" t="str">
        <x:v>Apr 4</x:v>
      </x:c>
      <x:c r="D209" t="n">
        <x:v>40</x:v>
      </x:c>
      <x:c r="E209" t="n">
        <x:v>23</x:v>
      </x:c>
      <x:c r="F209" s="14" t="n">
        <x:v>16</x:v>
      </x:c>
      <x:c r="G209" t="str">
        <x:v>1mo ago</x:v>
      </x:c>
      <x:c r="H209" t="str">
        <x:v>Competitive</x:v>
      </x:c>
      <x:c r="I209" t="str">
        <x:v>Convergence</x:v>
      </x:c>
      <x:c r="J209" t="str">
        <x:v>Unknown / not captured</x:v>
      </x:c>
      <x:c r="K209" t="str">
        <x:v>Bruce Banner</x:v>
      </x:c>
      <x:c r="L209" t="str">
        <x:v>Loss</x:v>
      </x:c>
      <x:c r="M209" t="str"/>
      <x:c r="N209" t="n">
        <x:v>0</x:v>
      </x:c>
      <x:c r="O209" t="n">
        <x:v>1</x:v>
      </x:c>
      <x:c r="P209" t="str">
        <x:v>Diamond I</x:v>
      </x:c>
      <x:c r="Q209" t="n">
        <x:v>4443</x:v>
      </x:c>
      <x:c r="R209" s="14" t="n">
        <x:v>-23</x:v>
      </x:c>
      <x:c r="S209" t="n">
        <x:v>1</x:v>
      </x:c>
      <x:c r="T209" t="n">
        <x:v>7</x:v>
      </x:c>
      <x:c r="U209" t="n">
        <x:v>0</x:v>
      </x:c>
      <x:c r="V209" s="16" t="n">
        <x:v>0.14</x:v>
      </x:c>
      <x:c r="W209" t="str">
        <x:v>Parsed from Tracker.gg MHTML/PDF export; competitive rows only.</x:v>
      </x:c>
      <x:c r="X209" t="n">
        <x:f>IF(L209="Win",1,0)</x:f>
        <x:v>0</x:v>
      </x:c>
      <x:c r="Y209" s="14" t="n">
        <x:f>IF(L209="Loss",1,0)</x:f>
        <x:v>1</x:v>
      </x:c>
      <x:c r="Z209" t="n">
        <x:f>IF(L209="Draw/Unknown",1,0)</x:f>
        <x:v>0</x:v>
      </x:c>
      <x:c r="AA209" s="16" t="str">
        <x:f>IF(OR(N209="",O209=""),"",N209-O209)</x:f>
      </x:c>
      <x:c r="AB209" s="16" t="n">
        <x:f>IF(T209=0,S209+U209,(S209+U209)/T209)</x:f>
        <x:v>0.14285714285714285</x:v>
      </x:c>
      <x:c r="AC209" t="n">
        <x:f>S209+U209</x:f>
        <x:v>1</x:v>
      </x:c>
      <x:c r="AD209" t="n">
        <x:f>IF(T209=0,1,0)</x:f>
        <x:v>0</x:v>
      </x:c>
      <x:c r="AE209" t="str">
        <x:f>IF(R209&gt;0,"Gain",IF(R209&lt;0,"Loss","Neutral"))</x:f>
        <x:v>Loss</x:v>
      </x:c>
    </x:row>
    <x:row r="210">
      <x:c r="A210" t="n">
        <x:v>209</x:v>
      </x:c>
      <x:c r="B210" s="12" t="n">
        <x:v>46116</x:v>
      </x:c>
      <x:c r="C210" t="str">
        <x:v>Apr 4</x:v>
      </x:c>
      <x:c r="D210" t="n">
        <x:v>40</x:v>
      </x:c>
      <x:c r="E210" t="n">
        <x:v>23</x:v>
      </x:c>
      <x:c r="F210" s="14" t="n">
        <x:v>16</x:v>
      </x:c>
      <x:c r="G210" t="str">
        <x:v>1mo ago</x:v>
      </x:c>
      <x:c r="H210" t="str">
        <x:v>Competitive</x:v>
      </x:c>
      <x:c r="I210" t="str">
        <x:v>Convergence</x:v>
      </x:c>
      <x:c r="J210" t="str">
        <x:v>Shin-Shibuya</x:v>
      </x:c>
      <x:c r="K210" t="str">
        <x:v>Cloak &amp; Dagger</x:v>
      </x:c>
      <x:c r="L210" t="str">
        <x:v>Win</x:v>
      </x:c>
      <x:c r="M210" t="str"/>
      <x:c r="N210" t="n">
        <x:v>0</x:v>
      </x:c>
      <x:c r="O210" t="n">
        <x:v>0</x:v>
      </x:c>
      <x:c r="P210" t="str">
        <x:v>Diamond I</x:v>
      </x:c>
      <x:c r="Q210" t="n">
        <x:v>4465</x:v>
      </x:c>
      <x:c r="R210" s="14" t="n">
        <x:v>24</x:v>
      </x:c>
      <x:c r="S210" t="n">
        <x:v>11</x:v>
      </x:c>
      <x:c r="T210" t="n">
        <x:v>1</x:v>
      </x:c>
      <x:c r="U210" t="n">
        <x:v>22</x:v>
      </x:c>
      <x:c r="V210" s="16" t="n">
        <x:v>33</x:v>
      </x:c>
      <x:c r="W210" t="str">
        <x:v>Parsed from Tracker.gg MHTML/PDF export; competitive rows only.</x:v>
      </x:c>
      <x:c r="X210" t="n">
        <x:f>IF(L210="Win",1,0)</x:f>
        <x:v>1</x:v>
      </x:c>
      <x:c r="Y210" s="14" t="n">
        <x:f>IF(L210="Loss",1,0)</x:f>
        <x:v>0</x:v>
      </x:c>
      <x:c r="Z210" t="n">
        <x:f>IF(L210="Draw/Unknown",1,0)</x:f>
        <x:v>0</x:v>
      </x:c>
      <x:c r="AA210" s="16" t="str">
        <x:f>IF(OR(N210="",O210=""),"",N210-O210)</x:f>
      </x:c>
      <x:c r="AB210" s="16" t="n">
        <x:f>IF(T210=0,S210+U210,(S210+U210)/T210)</x:f>
        <x:v>33</x:v>
      </x:c>
      <x:c r="AC210" t="n">
        <x:f>S210+U210</x:f>
        <x:v>33</x:v>
      </x:c>
      <x:c r="AD210" t="n">
        <x:f>IF(T210=0,1,0)</x:f>
        <x:v>0</x:v>
      </x:c>
      <x:c r="AE210" t="str">
        <x:f>IF(R210&gt;0,"Gain",IF(R210&lt;0,"Loss","Neutral"))</x:f>
        <x:v>Gain</x:v>
      </x:c>
    </x:row>
    <x:row r="211">
      <x:c r="A211" t="n">
        <x:v>210</x:v>
      </x:c>
      <x:c r="B211" s="12" t="n">
        <x:v>46116</x:v>
      </x:c>
      <x:c r="C211" t="str">
        <x:v>Apr 4</x:v>
      </x:c>
      <x:c r="D211" t="n">
        <x:v>40</x:v>
      </x:c>
      <x:c r="E211" t="n">
        <x:v>23</x:v>
      </x:c>
      <x:c r="F211" s="14" t="n">
        <x:v>16</x:v>
      </x:c>
      <x:c r="G211" t="str">
        <x:v>1mo ago</x:v>
      </x:c>
      <x:c r="H211" t="str">
        <x:v>Competitive</x:v>
      </x:c>
      <x:c r="I211" t="str">
        <x:v>Convergence</x:v>
      </x:c>
      <x:c r="J211" t="str">
        <x:v>Symbiotic Surface</x:v>
      </x:c>
      <x:c r="K211" t="str">
        <x:v>Peni Parker</x:v>
      </x:c>
      <x:c r="L211" t="str">
        <x:v>Draw/Unknown</x:v>
      </x:c>
      <x:c r="M211" t="str"/>
      <x:c r="N211" t="n">
        <x:v>0</x:v>
      </x:c>
      <x:c r="O211" t="n">
        <x:v>0</x:v>
      </x:c>
      <x:c r="P211" t="str">
        <x:v>Diamond I</x:v>
      </x:c>
      <x:c r="Q211" t="n">
        <x:v>4441</x:v>
      </x:c>
      <x:c r="R211" s="14" t="n">
        <x:v>3</x:v>
      </x:c>
      <x:c r="S211" t="n">
        <x:v>15</x:v>
      </x:c>
      <x:c r="T211" t="n">
        <x:v>4</x:v>
      </x:c>
      <x:c r="U211" t="n">
        <x:v>11</x:v>
      </x:c>
      <x:c r="V211" s="16" t="n">
        <x:v>6.5</x:v>
      </x:c>
      <x:c r="W211" t="str">
        <x:v>Parsed from Tracker.gg MHTML/PDF export; competitive rows only.</x:v>
      </x:c>
      <x:c r="X211" t="n">
        <x:f>IF(L211="Win",1,0)</x:f>
        <x:v>0</x:v>
      </x:c>
      <x:c r="Y211" s="14" t="n">
        <x:f>IF(L211="Loss",1,0)</x:f>
        <x:v>0</x:v>
      </x:c>
      <x:c r="Z211" t="n">
        <x:f>IF(L211="Draw/Unknown",1,0)</x:f>
        <x:v>1</x:v>
      </x:c>
      <x:c r="AA211" s="16" t="str">
        <x:f>IF(OR(N211="",O211=""),"",N211-O211)</x:f>
      </x:c>
      <x:c r="AB211" s="16" t="n">
        <x:f>IF(T211=0,S211+U211,(S211+U211)/T211)</x:f>
        <x:v>6.5</x:v>
      </x:c>
      <x:c r="AC211" t="n">
        <x:f>S211+U211</x:f>
        <x:v>26</x:v>
      </x:c>
      <x:c r="AD211" t="n">
        <x:f>IF(T211=0,1,0)</x:f>
        <x:v>0</x:v>
      </x:c>
      <x:c r="AE211" t="str">
        <x:f>IF(R211&gt;0,"Gain",IF(R211&lt;0,"Loss","Neutral"))</x:f>
        <x:v>Gain</x:v>
      </x:c>
    </x:row>
    <x:row r="212">
      <x:c r="A212" t="n">
        <x:v>211</x:v>
      </x:c>
      <x:c r="B212" s="12" t="n">
        <x:v>46116</x:v>
      </x:c>
      <x:c r="C212" t="str">
        <x:v>Apr 4</x:v>
      </x:c>
      <x:c r="D212" t="n">
        <x:v>40</x:v>
      </x:c>
      <x:c r="E212" t="n">
        <x:v>23</x:v>
      </x:c>
      <x:c r="F212" s="14" t="n">
        <x:v>16</x:v>
      </x:c>
      <x:c r="G212" t="str">
        <x:v>1mo ago</x:v>
      </x:c>
      <x:c r="H212" t="str">
        <x:v>Competitive</x:v>
      </x:c>
      <x:c r="I212" t="str">
        <x:v>Domination</x:v>
      </x:c>
      <x:c r="J212" t="str">
        <x:v>Birnin T'Challa</x:v>
      </x:c>
      <x:c r="K212" t="str">
        <x:v>Peni Parker</x:v>
      </x:c>
      <x:c r="L212" t="str">
        <x:v>Loss</x:v>
      </x:c>
      <x:c r="M212" t="str">
        <x:v>SVP</x:v>
      </x:c>
      <x:c r="N212" t="n">
        <x:v>2</x:v>
      </x:c>
      <x:c r="O212" t="n">
        <x:v>0</x:v>
      </x:c>
      <x:c r="P212" t="str">
        <x:v>Diamond I</x:v>
      </x:c>
      <x:c r="Q212" t="n">
        <x:v>4437</x:v>
      </x:c>
      <x:c r="R212" s="14" t="n">
        <x:v>-17</x:v>
      </x:c>
      <x:c r="S212" t="n">
        <x:v>6</x:v>
      </x:c>
      <x:c r="T212" t="n">
        <x:v>8</x:v>
      </x:c>
      <x:c r="U212" t="n">
        <x:v>6</x:v>
      </x:c>
      <x:c r="V212" s="16" t="n">
        <x:v>1.5</x:v>
      </x:c>
      <x:c r="W212" t="str">
        <x:v>Parsed from Tracker.gg MHTML/PDF export; competitive rows only.</x:v>
      </x:c>
      <x:c r="X212" t="n">
        <x:f>IF(L212="Win",1,0)</x:f>
        <x:v>0</x:v>
      </x:c>
      <x:c r="Y212" s="14" t="n">
        <x:f>IF(L212="Loss",1,0)</x:f>
        <x:v>1</x:v>
      </x:c>
      <x:c r="Z212" t="n">
        <x:f>IF(L212="Draw/Unknown",1,0)</x:f>
        <x:v>0</x:v>
      </x:c>
      <x:c r="AA212" s="16" t="str">
        <x:f>IF(OR(N212="",O212=""),"",N212-O212)</x:f>
      </x:c>
      <x:c r="AB212" s="16" t="n">
        <x:f>IF(T212=0,S212+U212,(S212+U212)/T212)</x:f>
        <x:v>1.5</x:v>
      </x:c>
      <x:c r="AC212" t="n">
        <x:f>S212+U212</x:f>
        <x:v>12</x:v>
      </x:c>
      <x:c r="AD212" t="n">
        <x:f>IF(T212=0,1,0)</x:f>
        <x:v>0</x:v>
      </x:c>
      <x:c r="AE212" t="str">
        <x:f>IF(R212&gt;0,"Gain",IF(R212&lt;0,"Loss","Neutral"))</x:f>
        <x:v>Loss</x:v>
      </x:c>
    </x:row>
    <x:row r="213">
      <x:c r="A213" t="n">
        <x:v>212</x:v>
      </x:c>
      <x:c r="B213" s="12" t="n">
        <x:v>46116</x:v>
      </x:c>
      <x:c r="C213" t="str">
        <x:v>Apr 4</x:v>
      </x:c>
      <x:c r="D213" t="n">
        <x:v>40</x:v>
      </x:c>
      <x:c r="E213" t="n">
        <x:v>23</x:v>
      </x:c>
      <x:c r="F213" s="14" t="n">
        <x:v>16</x:v>
      </x:c>
      <x:c r="G213" t="str">
        <x:v>2mo ago</x:v>
      </x:c>
      <x:c r="H213" t="str">
        <x:v>Competitive</x:v>
      </x:c>
      <x:c r="I213" t="str">
        <x:v>Convoy</x:v>
      </x:c>
      <x:c r="J213" t="str">
        <x:v>Spider-Islands</x:v>
      </x:c>
      <x:c r="K213" t="str">
        <x:v>Peni Parker</x:v>
      </x:c>
      <x:c r="L213" t="str">
        <x:v>Win</x:v>
      </x:c>
      <x:c r="M213" t="str"/>
      <x:c r="N213" t="n">
        <x:v>2</x:v>
      </x:c>
      <x:c r="O213" t="n">
        <x:v>3</x:v>
      </x:c>
      <x:c r="P213" t="str">
        <x:v>Diamond I</x:v>
      </x:c>
      <x:c r="Q213" t="n">
        <x:v>4453</x:v>
      </x:c>
      <x:c r="R213" s="14" t="n">
        <x:v>27</x:v>
      </x:c>
      <x:c r="S213" t="n">
        <x:v>32</x:v>
      </x:c>
      <x:c r="T213" t="n">
        <x:v>10</x:v>
      </x:c>
      <x:c r="U213" t="n">
        <x:v>16</x:v>
      </x:c>
      <x:c r="V213" s="16" t="n">
        <x:v>4.8</x:v>
      </x:c>
      <x:c r="W213" t="str">
        <x:v>Parsed from Tracker.gg MHTML/PDF export; competitive rows only.</x:v>
      </x:c>
      <x:c r="X213" t="n">
        <x:f>IF(L213="Win",1,0)</x:f>
        <x:v>1</x:v>
      </x:c>
      <x:c r="Y213" s="14" t="n">
        <x:f>IF(L213="Loss",1,0)</x:f>
        <x:v>0</x:v>
      </x:c>
      <x:c r="Z213" t="n">
        <x:f>IF(L213="Draw/Unknown",1,0)</x:f>
        <x:v>0</x:v>
      </x:c>
      <x:c r="AA213" s="16" t="n">
        <x:f>IF(OR(N213="",O213=""),"",N213-O213)</x:f>
        <x:v>-1</x:v>
      </x:c>
      <x:c r="AB213" s="16" t="n">
        <x:f>IF(T213=0,S213+U213,(S213+U213)/T213)</x:f>
        <x:v>4.8</x:v>
      </x:c>
      <x:c r="AC213" t="n">
        <x:f>S213+U213</x:f>
        <x:v>48</x:v>
      </x:c>
      <x:c r="AD213" t="n">
        <x:f>IF(T213=0,1,0)</x:f>
        <x:v>0</x:v>
      </x:c>
      <x:c r="AE213" t="str">
        <x:f>IF(R213&gt;0,"Gain",IF(R213&lt;0,"Loss","Neutral"))</x:f>
        <x:v>Gain</x:v>
      </x:c>
    </x:row>
    <x:row r="214">
      <x:c r="A214" t="n">
        <x:v>213</x:v>
      </x:c>
      <x:c r="B214" s="12" t="n">
        <x:v>46116</x:v>
      </x:c>
      <x:c r="C214" t="str">
        <x:v>Apr 4</x:v>
      </x:c>
      <x:c r="D214" t="n">
        <x:v>40</x:v>
      </x:c>
      <x:c r="E214" t="n">
        <x:v>23</x:v>
      </x:c>
      <x:c r="F214" s="14" t="n">
        <x:v>16</x:v>
      </x:c>
      <x:c r="G214" t="str">
        <x:v>2mo ago</x:v>
      </x:c>
      <x:c r="H214" t="str">
        <x:v>Competitive</x:v>
      </x:c>
      <x:c r="I214" t="str">
        <x:v>Convergence</x:v>
      </x:c>
      <x:c r="J214" t="str">
        <x:v>Central Park</x:v>
      </x:c>
      <x:c r="K214" t="str">
        <x:v>The Thing</x:v>
      </x:c>
      <x:c r="L214" t="str">
        <x:v>Win</x:v>
      </x:c>
      <x:c r="M214" t="str"/>
      <x:c r="N214" t="n">
        <x:v>2</x:v>
      </x:c>
      <x:c r="O214" t="n">
        <x:v>0</x:v>
      </x:c>
      <x:c r="P214" t="str">
        <x:v>Diamond I</x:v>
      </x:c>
      <x:c r="Q214" t="n">
        <x:v>4426</x:v>
      </x:c>
      <x:c r="R214" s="14" t="n">
        <x:v>25</x:v>
      </x:c>
      <x:c r="S214" t="n">
        <x:v>29</x:v>
      </x:c>
      <x:c r="T214" t="n">
        <x:v>8</x:v>
      </x:c>
      <x:c r="U214" t="n">
        <x:v>20</x:v>
      </x:c>
      <x:c r="V214" s="16" t="n">
        <x:v>6.12</x:v>
      </x:c>
      <x:c r="W214" t="str">
        <x:v>Parsed from Tracker.gg MHTML/PDF export; competitive rows only.</x:v>
      </x:c>
      <x:c r="X214" t="n">
        <x:f>IF(L214="Win",1,0)</x:f>
        <x:v>1</x:v>
      </x:c>
      <x:c r="Y214" s="14" t="n">
        <x:f>IF(L214="Loss",1,0)</x:f>
        <x:v>0</x:v>
      </x:c>
      <x:c r="Z214" t="n">
        <x:f>IF(L214="Draw/Unknown",1,0)</x:f>
        <x:v>0</x:v>
      </x:c>
      <x:c r="AA214" s="16" t="str">
        <x:f>IF(OR(N214="",O214=""),"",N214-O214)</x:f>
      </x:c>
      <x:c r="AB214" s="16" t="n">
        <x:f>IF(T214=0,S214+U214,(S214+U214)/T214)</x:f>
        <x:v>6.125</x:v>
      </x:c>
      <x:c r="AC214" t="n">
        <x:f>S214+U214</x:f>
        <x:v>49</x:v>
      </x:c>
      <x:c r="AD214" t="n">
        <x:f>IF(T214=0,1,0)</x:f>
        <x:v>0</x:v>
      </x:c>
      <x:c r="AE214" t="str">
        <x:f>IF(R214&gt;0,"Gain",IF(R214&lt;0,"Loss","Neutral"))</x:f>
        <x:v>Gain</x:v>
      </x:c>
    </x:row>
    <x:row r="215">
      <x:c r="A215" t="n">
        <x:v>214</x:v>
      </x:c>
      <x:c r="B215" s="12" t="n">
        <x:v>46116</x:v>
      </x:c>
      <x:c r="C215" t="str">
        <x:v>Apr 4</x:v>
      </x:c>
      <x:c r="D215" t="n">
        <x:v>40</x:v>
      </x:c>
      <x:c r="E215" t="n">
        <x:v>23</x:v>
      </x:c>
      <x:c r="F215" s="14" t="n">
        <x:v>16</x:v>
      </x:c>
      <x:c r="G215" t="str">
        <x:v>2mo ago</x:v>
      </x:c>
      <x:c r="H215" t="str">
        <x:v>Competitive</x:v>
      </x:c>
      <x:c r="I215" t="str">
        <x:v>Convergence</x:v>
      </x:c>
      <x:c r="J215" t="str">
        <x:v>Unknown / not captured</x:v>
      </x:c>
      <x:c r="K215" t="str">
        <x:v>Captain America</x:v>
      </x:c>
      <x:c r="L215" t="str">
        <x:v>Win</x:v>
      </x:c>
      <x:c r="M215" t="str"/>
      <x:c r="N215" t="n">
        <x:v>1</x:v>
      </x:c>
      <x:c r="O215" t="n">
        <x:v>0</x:v>
      </x:c>
      <x:c r="P215" t="str">
        <x:v>Diamond I</x:v>
      </x:c>
      <x:c r="Q215" t="n">
        <x:v>4400</x:v>
      </x:c>
      <x:c r="R215" s="14" t="n">
        <x:v>21</x:v>
      </x:c>
      <x:c r="S215" t="n">
        <x:v>15</x:v>
      </x:c>
      <x:c r="T215" t="n">
        <x:v>8</x:v>
      </x:c>
      <x:c r="U215" t="n">
        <x:v>10</x:v>
      </x:c>
      <x:c r="V215" s="16" t="n">
        <x:v>3.12</x:v>
      </x:c>
      <x:c r="W215" t="str">
        <x:v>Parsed from Tracker.gg MHTML/PDF export; competitive rows only.</x:v>
      </x:c>
      <x:c r="X215" t="n">
        <x:f>IF(L215="Win",1,0)</x:f>
        <x:v>1</x:v>
      </x:c>
      <x:c r="Y215" s="14" t="n">
        <x:f>IF(L215="Loss",1,0)</x:f>
        <x:v>0</x:v>
      </x:c>
      <x:c r="Z215" t="n">
        <x:f>IF(L215="Draw/Unknown",1,0)</x:f>
        <x:v>0</x:v>
      </x:c>
      <x:c r="AA215" s="16" t="str">
        <x:f>IF(OR(N215="",O215=""),"",N215-O215)</x:f>
      </x:c>
      <x:c r="AB215" s="16" t="n">
        <x:f>IF(T215=0,S215+U215,(S215+U215)/T215)</x:f>
        <x:v>3.125</x:v>
      </x:c>
      <x:c r="AC215" t="n">
        <x:f>S215+U215</x:f>
        <x:v>25</x:v>
      </x:c>
      <x:c r="AD215" t="n">
        <x:f>IF(T215=0,1,0)</x:f>
        <x:v>0</x:v>
      </x:c>
      <x:c r="AE215" t="str">
        <x:f>IF(R215&gt;0,"Gain",IF(R215&lt;0,"Loss","Neutral"))</x:f>
        <x:v>Gain</x:v>
      </x:c>
    </x:row>
    <x:row r="216">
      <x:c r="A216" t="n">
        <x:v>215</x:v>
      </x:c>
      <x:c r="B216" s="12" t="n">
        <x:v>46116</x:v>
      </x:c>
      <x:c r="C216" t="str">
        <x:v>Apr 4</x:v>
      </x:c>
      <x:c r="D216" t="n">
        <x:v>40</x:v>
      </x:c>
      <x:c r="E216" t="n">
        <x:v>23</x:v>
      </x:c>
      <x:c r="F216" s="14" t="n">
        <x:v>16</x:v>
      </x:c>
      <x:c r="G216" t="str">
        <x:v>2mo ago</x:v>
      </x:c>
      <x:c r="H216" t="str">
        <x:v>Competitive</x:v>
      </x:c>
      <x:c r="I216" t="str">
        <x:v>Convergence</x:v>
      </x:c>
      <x:c r="J216" t="str">
        <x:v>Shin-Shibuya</x:v>
      </x:c>
      <x:c r="K216" t="str">
        <x:v>Storm</x:v>
      </x:c>
      <x:c r="L216" t="str">
        <x:v>Win</x:v>
      </x:c>
      <x:c r="M216" t="str"/>
      <x:c r="N216" t="n">
        <x:v>1</x:v>
      </x:c>
      <x:c r="O216" t="n">
        <x:v>2</x:v>
      </x:c>
      <x:c r="P216" t="str">
        <x:v>Diamond II</x:v>
      </x:c>
      <x:c r="Q216" t="n">
        <x:v>4379</x:v>
      </x:c>
      <x:c r="R216" s="14" t="n">
        <x:v>23</x:v>
      </x:c>
      <x:c r="S216" t="n">
        <x:v>18</x:v>
      </x:c>
      <x:c r="T216" t="n">
        <x:v>8</x:v>
      </x:c>
      <x:c r="U216" t="n">
        <x:v>20</x:v>
      </x:c>
      <x:c r="V216" s="16" t="n">
        <x:v>4.75</x:v>
      </x:c>
      <x:c r="W216" t="str">
        <x:v>Parsed from Tracker.gg MHTML/PDF export; competitive rows only.</x:v>
      </x:c>
      <x:c r="X216" t="n">
        <x:f>IF(L216="Win",1,0)</x:f>
        <x:v>1</x:v>
      </x:c>
      <x:c r="Y216" s="14" t="n">
        <x:f>IF(L216="Loss",1,0)</x:f>
        <x:v>0</x:v>
      </x:c>
      <x:c r="Z216" t="n">
        <x:f>IF(L216="Draw/Unknown",1,0)</x:f>
        <x:v>0</x:v>
      </x:c>
      <x:c r="AA216" s="16" t="n">
        <x:f>IF(OR(N216="",O216=""),"",N216-O216)</x:f>
        <x:v>-1</x:v>
      </x:c>
      <x:c r="AB216" s="16" t="n">
        <x:f>IF(T216=0,S216+U216,(S216+U216)/T216)</x:f>
        <x:v>4.75</x:v>
      </x:c>
      <x:c r="AC216" t="n">
        <x:f>S216+U216</x:f>
        <x:v>38</x:v>
      </x:c>
      <x:c r="AD216" t="n">
        <x:f>IF(T216=0,1,0)</x:f>
        <x:v>0</x:v>
      </x:c>
      <x:c r="AE216" t="str">
        <x:f>IF(R216&gt;0,"Gain",IF(R216&lt;0,"Loss","Neutral"))</x:f>
        <x:v>Gain</x:v>
      </x:c>
    </x:row>
    <x:row r="217">
      <x:c r="A217" t="n">
        <x:v>216</x:v>
      </x:c>
      <x:c r="B217" s="12" t="n">
        <x:v>46116</x:v>
      </x:c>
      <x:c r="C217" t="str">
        <x:v>Apr 4</x:v>
      </x:c>
      <x:c r="D217" t="n">
        <x:v>40</x:v>
      </x:c>
      <x:c r="E217" t="n">
        <x:v>23</x:v>
      </x:c>
      <x:c r="F217" s="14" t="n">
        <x:v>16</x:v>
      </x:c>
      <x:c r="G217" t="str">
        <x:v>2mo ago</x:v>
      </x:c>
      <x:c r="H217" t="str">
        <x:v>Competitive</x:v>
      </x:c>
      <x:c r="I217" t="str">
        <x:v>Convergence</x:v>
      </x:c>
      <x:c r="J217" t="str">
        <x:v>Heart Of Heaven</x:v>
      </x:c>
      <x:c r="K217" t="str">
        <x:v>Captain America</x:v>
      </x:c>
      <x:c r="L217" t="str">
        <x:v>Win</x:v>
      </x:c>
      <x:c r="M217" t="str"/>
      <x:c r="N217" t="n">
        <x:v>2</x:v>
      </x:c>
      <x:c r="O217" t="n">
        <x:v>0</x:v>
      </x:c>
      <x:c r="P217" t="str">
        <x:v>Diamond II</x:v>
      </x:c>
      <x:c r="Q217" t="n">
        <x:v>4356</x:v>
      </x:c>
      <x:c r="R217" s="14" t="n">
        <x:v>26</x:v>
      </x:c>
      <x:c r="S217" t="n">
        <x:v>29</x:v>
      </x:c>
      <x:c r="T217" t="n">
        <x:v>6</x:v>
      </x:c>
      <x:c r="U217" t="n">
        <x:v>16</x:v>
      </x:c>
      <x:c r="V217" s="16" t="n">
        <x:v>7.5</x:v>
      </x:c>
      <x:c r="W217" t="str">
        <x:v>Parsed from Tracker.gg MHTML/PDF export; competitive rows only.</x:v>
      </x:c>
      <x:c r="X217" t="n">
        <x:f>IF(L217="Win",1,0)</x:f>
        <x:v>1</x:v>
      </x:c>
      <x:c r="Y217" s="14" t="n">
        <x:f>IF(L217="Loss",1,0)</x:f>
        <x:v>0</x:v>
      </x:c>
      <x:c r="Z217" t="n">
        <x:f>IF(L217="Draw/Unknown",1,0)</x:f>
        <x:v>0</x:v>
      </x:c>
      <x:c r="AA217" s="16" t="str">
        <x:f>IF(OR(N217="",O217=""),"",N217-O217)</x:f>
      </x:c>
      <x:c r="AB217" s="16" t="n">
        <x:f>IF(T217=0,S217+U217,(S217+U217)/T217)</x:f>
        <x:v>7.5</x:v>
      </x:c>
      <x:c r="AC217" t="n">
        <x:f>S217+U217</x:f>
        <x:v>45</x:v>
      </x:c>
      <x:c r="AD217" t="n">
        <x:f>IF(T217=0,1,0)</x:f>
        <x:v>0</x:v>
      </x:c>
      <x:c r="AE217" t="str">
        <x:f>IF(R217&gt;0,"Gain",IF(R217&lt;0,"Loss","Neutral"))</x:f>
        <x:v>Gain</x:v>
      </x:c>
    </x:row>
    <x:row r="218">
      <x:c r="A218" t="n">
        <x:v>217</x:v>
      </x:c>
      <x:c r="B218" s="12" t="n">
        <x:v>46116</x:v>
      </x:c>
      <x:c r="C218" t="str">
        <x:v>Apr 4</x:v>
      </x:c>
      <x:c r="D218" t="n">
        <x:v>40</x:v>
      </x:c>
      <x:c r="E218" t="n">
        <x:v>23</x:v>
      </x:c>
      <x:c r="F218" s="14" t="n">
        <x:v>16</x:v>
      </x:c>
      <x:c r="G218" t="str">
        <x:v>2mo ago</x:v>
      </x:c>
      <x:c r="H218" t="str">
        <x:v>Competitive</x:v>
      </x:c>
      <x:c r="I218" t="str">
        <x:v>Convergence</x:v>
      </x:c>
      <x:c r="J218" t="str">
        <x:v>Hall Of Djalia</x:v>
      </x:c>
      <x:c r="K218" t="str">
        <x:v>Peni Parker</x:v>
      </x:c>
      <x:c r="L218" t="str">
        <x:v>Loss</x:v>
      </x:c>
      <x:c r="M218" t="str"/>
      <x:c r="N218" t="n">
        <x:v>2</x:v>
      </x:c>
      <x:c r="O218" t="n">
        <x:v>3</x:v>
      </x:c>
      <x:c r="P218" t="str">
        <x:v>Diamond II</x:v>
      </x:c>
      <x:c r="Q218" t="n">
        <x:v>4329</x:v>
      </x:c>
      <x:c r="R218" s="14" t="n">
        <x:v>-18</x:v>
      </x:c>
      <x:c r="S218" t="n">
        <x:v>18</x:v>
      </x:c>
      <x:c r="T218" t="n">
        <x:v>11</x:v>
      </x:c>
      <x:c r="U218" t="n">
        <x:v>8</x:v>
      </x:c>
      <x:c r="V218" s="16" t="n">
        <x:v>2.36</x:v>
      </x:c>
      <x:c r="W218" t="str">
        <x:v>Parsed from Tracker.gg MHTML/PDF export; competitive rows only.</x:v>
      </x:c>
      <x:c r="X218" t="n">
        <x:f>IF(L218="Win",1,0)</x:f>
        <x:v>0</x:v>
      </x:c>
      <x:c r="Y218" s="14" t="n">
        <x:f>IF(L218="Loss",1,0)</x:f>
        <x:v>1</x:v>
      </x:c>
      <x:c r="Z218" t="n">
        <x:f>IF(L218="Draw/Unknown",1,0)</x:f>
        <x:v>0</x:v>
      </x:c>
      <x:c r="AA218" s="16" t="n">
        <x:f>IF(OR(N218="",O218=""),"",N218-O218)</x:f>
        <x:v>-1</x:v>
      </x:c>
      <x:c r="AB218" s="16" t="n">
        <x:f>IF(T218=0,S218+U218,(S218+U218)/T218)</x:f>
        <x:v>2.3636363636363638</x:v>
      </x:c>
      <x:c r="AC218" t="n">
        <x:f>S218+U218</x:f>
        <x:v>26</x:v>
      </x:c>
      <x:c r="AD218" t="n">
        <x:f>IF(T218=0,1,0)</x:f>
        <x:v>0</x:v>
      </x:c>
      <x:c r="AE218" t="str">
        <x:f>IF(R218&gt;0,"Gain",IF(R218&lt;0,"Loss","Neutral"))</x:f>
        <x:v>Loss</x:v>
      </x:c>
    </x:row>
    <x:row r="219">
      <x:c r="A219" t="n">
        <x:v>218</x:v>
      </x:c>
      <x:c r="B219" s="12" t="n">
        <x:v>46116</x:v>
      </x:c>
      <x:c r="C219" t="str">
        <x:v>Apr 4</x:v>
      </x:c>
      <x:c r="D219" t="n">
        <x:v>40</x:v>
      </x:c>
      <x:c r="E219" t="n">
        <x:v>23</x:v>
      </x:c>
      <x:c r="F219" s="14" t="n">
        <x:v>16</x:v>
      </x:c>
      <x:c r="G219" t="str">
        <x:v>2mo ago</x:v>
      </x:c>
      <x:c r="H219" t="str">
        <x:v>Competitive</x:v>
      </x:c>
      <x:c r="I219" t="str">
        <x:v>Convoy</x:v>
      </x:c>
      <x:c r="J219" t="str">
        <x:v>Spider-Islands</x:v>
      </x:c>
      <x:c r="K219" t="str">
        <x:v>The Thing</x:v>
      </x:c>
      <x:c r="L219" t="str">
        <x:v>Loss</x:v>
      </x:c>
      <x:c r="M219" t="str"/>
      <x:c r="N219" t="n">
        <x:v>2</x:v>
      </x:c>
      <x:c r="O219" t="n">
        <x:v>3</x:v>
      </x:c>
      <x:c r="P219" t="str">
        <x:v>Diamond II</x:v>
      </x:c>
      <x:c r="Q219" t="n">
        <x:v>4347</x:v>
      </x:c>
      <x:c r="R219" s="14" t="n">
        <x:v>-19</x:v>
      </x:c>
      <x:c r="S219" t="n">
        <x:v>22</x:v>
      </x:c>
      <x:c r="T219" t="n">
        <x:v>13</x:v>
      </x:c>
      <x:c r="U219" t="n">
        <x:v>10</x:v>
      </x:c>
      <x:c r="V219" s="16" t="n">
        <x:v>2.46</x:v>
      </x:c>
      <x:c r="W219" t="str">
        <x:v>Parsed from Tracker.gg MHTML/PDF export; competitive rows only.</x:v>
      </x:c>
      <x:c r="X219" t="n">
        <x:f>IF(L219="Win",1,0)</x:f>
        <x:v>0</x:v>
      </x:c>
      <x:c r="Y219" s="14" t="n">
        <x:f>IF(L219="Loss",1,0)</x:f>
        <x:v>1</x:v>
      </x:c>
      <x:c r="Z219" t="n">
        <x:f>IF(L219="Draw/Unknown",1,0)</x:f>
        <x:v>0</x:v>
      </x:c>
      <x:c r="AA219" s="16" t="n">
        <x:f>IF(OR(N219="",O219=""),"",N219-O219)</x:f>
        <x:v>-1</x:v>
      </x:c>
      <x:c r="AB219" s="16" t="n">
        <x:f>IF(T219=0,S219+U219,(S219+U219)/T219)</x:f>
        <x:v>2.4615384615384617</x:v>
      </x:c>
      <x:c r="AC219" t="n">
        <x:f>S219+U219</x:f>
        <x:v>32</x:v>
      </x:c>
      <x:c r="AD219" t="n">
        <x:f>IF(T219=0,1,0)</x:f>
        <x:v>0</x:v>
      </x:c>
      <x:c r="AE219" t="str">
        <x:f>IF(R219&gt;0,"Gain",IF(R219&lt;0,"Loss","Neutral"))</x:f>
        <x:v>Loss</x:v>
      </x:c>
    </x:row>
    <x:row r="220">
      <x:c r="A220" t="n">
        <x:v>219</x:v>
      </x:c>
      <x:c r="B220" s="12" t="n">
        <x:v>46115</x:v>
      </x:c>
      <x:c r="C220" t="str">
        <x:v>Apr 3</x:v>
      </x:c>
      <x:c r="D220" t="n">
        <x:v>22</x:v>
      </x:c>
      <x:c r="E220" t="n">
        <x:v>12</x:v>
      </x:c>
      <x:c r="F220" s="14" t="n">
        <x:v>10</x:v>
      </x:c>
      <x:c r="G220" t="str">
        <x:v>2mo ago</x:v>
      </x:c>
      <x:c r="H220" t="str">
        <x:v>Competitive</x:v>
      </x:c>
      <x:c r="I220" t="str">
        <x:v>Convergence</x:v>
      </x:c>
      <x:c r="J220" t="str">
        <x:v>Symbiotic Surface</x:v>
      </x:c>
      <x:c r="K220" t="str">
        <x:v>The Thing</x:v>
      </x:c>
      <x:c r="L220" t="str">
        <x:v>Loss</x:v>
      </x:c>
      <x:c r="M220" t="str"/>
      <x:c r="N220" t="n">
        <x:v>3</x:v>
      </x:c>
      <x:c r="O220" t="n">
        <x:v>5</x:v>
      </x:c>
      <x:c r="P220" t="str">
        <x:v>Diamond II</x:v>
      </x:c>
      <x:c r="Q220" t="n">
        <x:v>4365</x:v>
      </x:c>
      <x:c r="R220" s="14" t="n">
        <x:v>-20</x:v>
      </x:c>
      <x:c r="S220" t="n">
        <x:v>37</x:v>
      </x:c>
      <x:c r="T220" t="n">
        <x:v>23</x:v>
      </x:c>
      <x:c r="U220" t="n">
        <x:v>6</x:v>
      </x:c>
      <x:c r="V220" s="16" t="n">
        <x:v>1.87</x:v>
      </x:c>
      <x:c r="W220" t="str">
        <x:v>Parsed from Tracker.gg MHTML/PDF export; competitive rows only.</x:v>
      </x:c>
      <x:c r="X220" t="n">
        <x:f>IF(L220="Win",1,0)</x:f>
        <x:v>0</x:v>
      </x:c>
      <x:c r="Y220" s="14" t="n">
        <x:f>IF(L220="Loss",1,0)</x:f>
        <x:v>1</x:v>
      </x:c>
      <x:c r="Z220" t="n">
        <x:f>IF(L220="Draw/Unknown",1,0)</x:f>
        <x:v>0</x:v>
      </x:c>
      <x:c r="AA220" s="16" t="n">
        <x:f>IF(OR(N220="",O220=""),"",N220-O220)</x:f>
        <x:v>-2</x:v>
      </x:c>
      <x:c r="AB220" s="16" t="n">
        <x:f>IF(T220=0,S220+U220,(S220+U220)/T220)</x:f>
        <x:v>1.8695652173913044</x:v>
      </x:c>
      <x:c r="AC220" t="n">
        <x:f>S220+U220</x:f>
        <x:v>43</x:v>
      </x:c>
      <x:c r="AD220" t="n">
        <x:f>IF(T220=0,1,0)</x:f>
        <x:v>0</x:v>
      </x:c>
      <x:c r="AE220" t="str">
        <x:f>IF(R220&gt;0,"Gain",IF(R220&lt;0,"Loss","Neutral"))</x:f>
        <x:v>Loss</x:v>
      </x:c>
    </x:row>
    <x:row r="221">
      <x:c r="A221" t="n">
        <x:v>220</x:v>
      </x:c>
      <x:c r="B221" s="12" t="n">
        <x:v>46115</x:v>
      </x:c>
      <x:c r="C221" t="str">
        <x:v>Apr 3</x:v>
      </x:c>
      <x:c r="D221" t="n">
        <x:v>22</x:v>
      </x:c>
      <x:c r="E221" t="n">
        <x:v>12</x:v>
      </x:c>
      <x:c r="F221" s="14" t="n">
        <x:v>10</x:v>
      </x:c>
      <x:c r="G221" t="str">
        <x:v>2mo ago</x:v>
      </x:c>
      <x:c r="H221" t="str">
        <x:v>Competitive</x:v>
      </x:c>
      <x:c r="I221" t="str">
        <x:v>Domination</x:v>
      </x:c>
      <x:c r="J221" t="str">
        <x:v>Celestial Husk</x:v>
      </x:c>
      <x:c r="K221" t="str">
        <x:v>Peni Parker</x:v>
      </x:c>
      <x:c r="L221" t="str">
        <x:v>Win</x:v>
      </x:c>
      <x:c r="M221" t="str"/>
      <x:c r="N221" t="n">
        <x:v>1</x:v>
      </x:c>
      <x:c r="O221" t="n">
        <x:v>2</x:v>
      </x:c>
      <x:c r="P221" t="str">
        <x:v>Diamond II</x:v>
      </x:c>
      <x:c r="Q221" t="n">
        <x:v>4385</x:v>
      </x:c>
      <x:c r="R221" s="14" t="n">
        <x:v>24</x:v>
      </x:c>
      <x:c r="S221" t="n">
        <x:v>31</x:v>
      </x:c>
      <x:c r="T221" t="n">
        <x:v>3</x:v>
      </x:c>
      <x:c r="U221" t="n">
        <x:v>25</x:v>
      </x:c>
      <x:c r="V221" s="16" t="n">
        <x:v>18.67</x:v>
      </x:c>
      <x:c r="W221" t="str">
        <x:v>Parsed from Tracker.gg MHTML/PDF export; competitive rows only.</x:v>
      </x:c>
      <x:c r="X221" t="n">
        <x:f>IF(L221="Win",1,0)</x:f>
        <x:v>1</x:v>
      </x:c>
      <x:c r="Y221" s="14" t="n">
        <x:f>IF(L221="Loss",1,0)</x:f>
        <x:v>0</x:v>
      </x:c>
      <x:c r="Z221" t="n">
        <x:f>IF(L221="Draw/Unknown",1,0)</x:f>
        <x:v>0</x:v>
      </x:c>
      <x:c r="AA221" s="16" t="n">
        <x:f>IF(OR(N221="",O221=""),"",N221-O221)</x:f>
        <x:v>-1</x:v>
      </x:c>
      <x:c r="AB221" s="16" t="n">
        <x:f>IF(T221=0,S221+U221,(S221+U221)/T221)</x:f>
        <x:v>18.666666666666668</x:v>
      </x:c>
      <x:c r="AC221" t="n">
        <x:f>S221+U221</x:f>
        <x:v>56</x:v>
      </x:c>
      <x:c r="AD221" t="n">
        <x:f>IF(T221=0,1,0)</x:f>
        <x:v>0</x:v>
      </x:c>
      <x:c r="AE221" t="str">
        <x:f>IF(R221&gt;0,"Gain",IF(R221&lt;0,"Loss","Neutral"))</x:f>
        <x:v>Gain</x:v>
      </x:c>
    </x:row>
    <x:row r="222">
      <x:c r="A222" t="n">
        <x:v>221</x:v>
      </x:c>
      <x:c r="B222" s="12" t="n">
        <x:v>46115</x:v>
      </x:c>
      <x:c r="C222" t="str">
        <x:v>Apr 3</x:v>
      </x:c>
      <x:c r="D222" t="n">
        <x:v>22</x:v>
      </x:c>
      <x:c r="E222" t="n">
        <x:v>12</x:v>
      </x:c>
      <x:c r="F222" s="14" t="n">
        <x:v>10</x:v>
      </x:c>
      <x:c r="G222" t="str">
        <x:v>2mo ago</x:v>
      </x:c>
      <x:c r="H222" t="str">
        <x:v>Competitive</x:v>
      </x:c>
      <x:c r="I222" t="str">
        <x:v>Convoy</x:v>
      </x:c>
      <x:c r="J222" t="str">
        <x:v>Arakko</x:v>
      </x:c>
      <x:c r="K222" t="str">
        <x:v>The Thing</x:v>
      </x:c>
      <x:c r="L222" t="str">
        <x:v>Loss</x:v>
      </x:c>
      <x:c r="M222" t="str"/>
      <x:c r="N222" t="n">
        <x:v>3</x:v>
      </x:c>
      <x:c r="O222" t="n">
        <x:v>2</x:v>
      </x:c>
      <x:c r="P222" t="str">
        <x:v>Diamond II</x:v>
      </x:c>
      <x:c r="Q222" t="n">
        <x:v>4361</x:v>
      </x:c>
      <x:c r="R222" s="14" t="n">
        <x:v>-19</x:v>
      </x:c>
      <x:c r="S222" t="n">
        <x:v>36</x:v>
      </x:c>
      <x:c r="T222" t="n">
        <x:v>14</x:v>
      </x:c>
      <x:c r="U222" t="n">
        <x:v>13</x:v>
      </x:c>
      <x:c r="V222" s="16" t="n">
        <x:v>3.5</x:v>
      </x:c>
      <x:c r="W222" t="str">
        <x:v>Parsed from Tracker.gg MHTML/PDF export; competitive rows only.</x:v>
      </x:c>
      <x:c r="X222" t="n">
        <x:f>IF(L222="Win",1,0)</x:f>
        <x:v>0</x:v>
      </x:c>
      <x:c r="Y222" s="14" t="n">
        <x:f>IF(L222="Loss",1,0)</x:f>
        <x:v>1</x:v>
      </x:c>
      <x:c r="Z222" t="n">
        <x:f>IF(L222="Draw/Unknown",1,0)</x:f>
        <x:v>0</x:v>
      </x:c>
      <x:c r="AA222" s="16" t="n">
        <x:f>IF(OR(N222="",O222=""),"",N222-O222)</x:f>
        <x:v>1</x:v>
      </x:c>
      <x:c r="AB222" s="16" t="n">
        <x:f>IF(T222=0,S222+U222,(S222+U222)/T222)</x:f>
        <x:v>3.5</x:v>
      </x:c>
      <x:c r="AC222" t="n">
        <x:f>S222+U222</x:f>
        <x:v>49</x:v>
      </x:c>
      <x:c r="AD222" t="n">
        <x:f>IF(T222=0,1,0)</x:f>
        <x:v>0</x:v>
      </x:c>
      <x:c r="AE222" t="str">
        <x:f>IF(R222&gt;0,"Gain",IF(R222&lt;0,"Loss","Neutral"))</x:f>
        <x:v>Loss</x:v>
      </x:c>
    </x:row>
    <x:row r="223">
      <x:c r="A223" t="n">
        <x:v>222</x:v>
      </x:c>
      <x:c r="B223" s="12" t="n">
        <x:v>46115</x:v>
      </x:c>
      <x:c r="C223" t="str">
        <x:v>Apr 3</x:v>
      </x:c>
      <x:c r="D223" t="n">
        <x:v>22</x:v>
      </x:c>
      <x:c r="E223" t="n">
        <x:v>12</x:v>
      </x:c>
      <x:c r="F223" s="14" t="n">
        <x:v>10</x:v>
      </x:c>
      <x:c r="G223" t="str">
        <x:v>2mo ago</x:v>
      </x:c>
      <x:c r="H223" t="str">
        <x:v>Competitive</x:v>
      </x:c>
      <x:c r="I223" t="str">
        <x:v>Convergence</x:v>
      </x:c>
      <x:c r="J223" t="str">
        <x:v>Hall Of Djalia</x:v>
      </x:c>
      <x:c r="K223" t="str">
        <x:v>Peni Parker</x:v>
      </x:c>
      <x:c r="L223" t="str">
        <x:v>Win</x:v>
      </x:c>
      <x:c r="M223" t="str"/>
      <x:c r="N223" t="n">
        <x:v>2</x:v>
      </x:c>
      <x:c r="O223" t="n">
        <x:v>3</x:v>
      </x:c>
      <x:c r="P223" t="str">
        <x:v>Diamond II</x:v>
      </x:c>
      <x:c r="Q223" t="n">
        <x:v>4379</x:v>
      </x:c>
      <x:c r="R223" s="14" t="n">
        <x:v>25</x:v>
      </x:c>
      <x:c r="S223" t="n">
        <x:v>38</x:v>
      </x:c>
      <x:c r="T223" t="n">
        <x:v>11</x:v>
      </x:c>
      <x:c r="U223" t="n">
        <x:v>14</x:v>
      </x:c>
      <x:c r="V223" s="16" t="n">
        <x:v>4.73</x:v>
      </x:c>
      <x:c r="W223" t="str">
        <x:v>Parsed from Tracker.gg MHTML/PDF export; competitive rows only.</x:v>
      </x:c>
      <x:c r="X223" t="n">
        <x:f>IF(L223="Win",1,0)</x:f>
        <x:v>1</x:v>
      </x:c>
      <x:c r="Y223" s="14" t="n">
        <x:f>IF(L223="Loss",1,0)</x:f>
        <x:v>0</x:v>
      </x:c>
      <x:c r="Z223" t="n">
        <x:f>IF(L223="Draw/Unknown",1,0)</x:f>
        <x:v>0</x:v>
      </x:c>
      <x:c r="AA223" s="16" t="n">
        <x:f>IF(OR(N223="",O223=""),"",N223-O223)</x:f>
        <x:v>-1</x:v>
      </x:c>
      <x:c r="AB223" s="16" t="n">
        <x:f>IF(T223=0,S223+U223,(S223+U223)/T223)</x:f>
        <x:v>4.7272727272727275</x:v>
      </x:c>
      <x:c r="AC223" t="n">
        <x:f>S223+U223</x:f>
        <x:v>52</x:v>
      </x:c>
      <x:c r="AD223" t="n">
        <x:f>IF(T223=0,1,0)</x:f>
        <x:v>0</x:v>
      </x:c>
      <x:c r="AE223" t="str">
        <x:f>IF(R223&gt;0,"Gain",IF(R223&lt;0,"Loss","Neutral"))</x:f>
        <x:v>Gain</x:v>
      </x:c>
    </x:row>
    <x:row r="224">
      <x:c r="A224" t="n">
        <x:v>223</x:v>
      </x:c>
      <x:c r="B224" s="12" t="n">
        <x:v>46115</x:v>
      </x:c>
      <x:c r="C224" t="str">
        <x:v>Apr 3</x:v>
      </x:c>
      <x:c r="D224" t="n">
        <x:v>22</x:v>
      </x:c>
      <x:c r="E224" t="n">
        <x:v>12</x:v>
      </x:c>
      <x:c r="F224" s="14" t="n">
        <x:v>10</x:v>
      </x:c>
      <x:c r="G224" t="str">
        <x:v>2mo ago</x:v>
      </x:c>
      <x:c r="H224" t="str">
        <x:v>Competitive</x:v>
      </x:c>
      <x:c r="I224" t="str">
        <x:v>Convergence</x:v>
      </x:c>
      <x:c r="J224" t="str">
        <x:v>Symbiotic Surface</x:v>
      </x:c>
      <x:c r="K224" t="str">
        <x:v>Storm</x:v>
      </x:c>
      <x:c r="L224" t="str">
        <x:v>Win</x:v>
      </x:c>
      <x:c r="M224" t="str">
        <x:v>MVP</x:v>
      </x:c>
      <x:c r="N224" t="n">
        <x:v>3</x:v>
      </x:c>
      <x:c r="O224" t="n">
        <x:v>1</x:v>
      </x:c>
      <x:c r="P224" t="str">
        <x:v>Diamond II</x:v>
      </x:c>
      <x:c r="Q224" t="n">
        <x:v>4354</x:v>
      </x:c>
      <x:c r="R224" s="14" t="n">
        <x:v>25</x:v>
      </x:c>
      <x:c r="S224" t="n">
        <x:v>36</x:v>
      </x:c>
      <x:c r="T224" t="n">
        <x:v>3</x:v>
      </x:c>
      <x:c r="U224" t="n">
        <x:v>35</x:v>
      </x:c>
      <x:c r="V224" s="16" t="n">
        <x:v>23.67</x:v>
      </x:c>
      <x:c r="W224" t="str">
        <x:v>Parsed from Tracker.gg MHTML/PDF export; competitive rows only.</x:v>
      </x:c>
      <x:c r="X224" t="n">
        <x:f>IF(L224="Win",1,0)</x:f>
        <x:v>1</x:v>
      </x:c>
      <x:c r="Y224" s="14" t="n">
        <x:f>IF(L224="Loss",1,0)</x:f>
        <x:v>0</x:v>
      </x:c>
      <x:c r="Z224" t="n">
        <x:f>IF(L224="Draw/Unknown",1,0)</x:f>
        <x:v>0</x:v>
      </x:c>
      <x:c r="AA224" s="16" t="n">
        <x:f>IF(OR(N224="",O224=""),"",N224-O224)</x:f>
        <x:v>2</x:v>
      </x:c>
      <x:c r="AB224" s="16" t="n">
        <x:f>IF(T224=0,S224+U224,(S224+U224)/T224)</x:f>
        <x:v>23.666666666666668</x:v>
      </x:c>
      <x:c r="AC224" t="n">
        <x:f>S224+U224</x:f>
        <x:v>71</x:v>
      </x:c>
      <x:c r="AD224" t="n">
        <x:f>IF(T224=0,1,0)</x:f>
        <x:v>0</x:v>
      </x:c>
      <x:c r="AE224" t="str">
        <x:f>IF(R224&gt;0,"Gain",IF(R224&lt;0,"Loss","Neutral"))</x:f>
        <x:v>Gain</x:v>
      </x:c>
    </x:row>
    <x:row r="225">
      <x:c r="A225" t="n">
        <x:v>224</x:v>
      </x:c>
      <x:c r="B225" s="12" t="n">
        <x:v>46115</x:v>
      </x:c>
      <x:c r="C225" t="str">
        <x:v>Apr 3</x:v>
      </x:c>
      <x:c r="D225" t="n">
        <x:v>22</x:v>
      </x:c>
      <x:c r="E225" t="n">
        <x:v>12</x:v>
      </x:c>
      <x:c r="F225" s="14" t="n">
        <x:v>10</x:v>
      </x:c>
      <x:c r="G225" t="str">
        <x:v>2mo ago</x:v>
      </x:c>
      <x:c r="H225" t="str">
        <x:v>Competitive</x:v>
      </x:c>
      <x:c r="I225" t="str">
        <x:v>Convoy</x:v>
      </x:c>
      <x:c r="J225" t="str">
        <x:v>Midtown</x:v>
      </x:c>
      <x:c r="K225" t="str">
        <x:v>Thor</x:v>
      </x:c>
      <x:c r="L225" t="str">
        <x:v>Loss</x:v>
      </x:c>
      <x:c r="M225" t="str"/>
      <x:c r="N225" t="n">
        <x:v>2</x:v>
      </x:c>
      <x:c r="O225" t="n">
        <x:v>0</x:v>
      </x:c>
      <x:c r="P225" t="str">
        <x:v>Diamond II</x:v>
      </x:c>
      <x:c r="Q225" t="n">
        <x:v>4329</x:v>
      </x:c>
      <x:c r="R225" s="14" t="n">
        <x:v>-18</x:v>
      </x:c>
      <x:c r="S225" t="n">
        <x:v>12</x:v>
      </x:c>
      <x:c r="T225" t="n">
        <x:v>15</x:v>
      </x:c>
      <x:c r="U225" t="n">
        <x:v>1</x:v>
      </x:c>
      <x:c r="V225" s="16" t="n">
        <x:v>0.87</x:v>
      </x:c>
      <x:c r="W225" t="str">
        <x:v>Parsed from Tracker.gg MHTML/PDF export; competitive rows only.</x:v>
      </x:c>
      <x:c r="X225" t="n">
        <x:f>IF(L225="Win",1,0)</x:f>
        <x:v>0</x:v>
      </x:c>
      <x:c r="Y225" s="14" t="n">
        <x:f>IF(L225="Loss",1,0)</x:f>
        <x:v>1</x:v>
      </x:c>
      <x:c r="Z225" t="n">
        <x:f>IF(L225="Draw/Unknown",1,0)</x:f>
        <x:v>0</x:v>
      </x:c>
      <x:c r="AA225" s="16" t="str">
        <x:f>IF(OR(N225="",O225=""),"",N225-O225)</x:f>
      </x:c>
      <x:c r="AB225" s="16" t="n">
        <x:f>IF(T225=0,S225+U225,(S225+U225)/T225)</x:f>
        <x:v>0.8666666666666667</x:v>
      </x:c>
      <x:c r="AC225" t="n">
        <x:f>S225+U225</x:f>
        <x:v>13</x:v>
      </x:c>
      <x:c r="AD225" t="n">
        <x:f>IF(T225=0,1,0)</x:f>
        <x:v>0</x:v>
      </x:c>
      <x:c r="AE225" t="str">
        <x:f>IF(R225&gt;0,"Gain",IF(R225&lt;0,"Loss","Neutral"))</x:f>
        <x:v>Loss</x:v>
      </x:c>
    </x:row>
    <x:row r="226">
      <x:c r="A226" t="n">
        <x:v>225</x:v>
      </x:c>
      <x:c r="B226" s="12" t="n">
        <x:v>46115</x:v>
      </x:c>
      <x:c r="C226" t="str">
        <x:v>Apr 3</x:v>
      </x:c>
      <x:c r="D226" t="n">
        <x:v>22</x:v>
      </x:c>
      <x:c r="E226" t="n">
        <x:v>12</x:v>
      </x:c>
      <x:c r="F226" s="14" t="n">
        <x:v>10</x:v>
      </x:c>
      <x:c r="G226" t="str">
        <x:v>2mo ago</x:v>
      </x:c>
      <x:c r="H226" t="str">
        <x:v>Competitive</x:v>
      </x:c>
      <x:c r="I226" t="str">
        <x:v>Convergence</x:v>
      </x:c>
      <x:c r="J226" t="str">
        <x:v>Shin-Shibuya</x:v>
      </x:c>
      <x:c r="K226" t="str">
        <x:v>Peni Parker</x:v>
      </x:c>
      <x:c r="L226" t="str">
        <x:v>Loss</x:v>
      </x:c>
      <x:c r="M226" t="str"/>
      <x:c r="N226" t="n">
        <x:v>2</x:v>
      </x:c>
      <x:c r="O226" t="n">
        <x:v>0</x:v>
      </x:c>
      <x:c r="P226" t="str">
        <x:v>Diamond II</x:v>
      </x:c>
      <x:c r="Q226" t="n">
        <x:v>4346</x:v>
      </x:c>
      <x:c r="R226" s="14" t="n">
        <x:v>-23</x:v>
      </x:c>
      <x:c r="S226" t="n">
        <x:v>8</x:v>
      </x:c>
      <x:c r="T226" t="n">
        <x:v>7</x:v>
      </x:c>
      <x:c r="U226" t="n">
        <x:v>9</x:v>
      </x:c>
      <x:c r="V226" s="16" t="n">
        <x:v>2.43</x:v>
      </x:c>
      <x:c r="W226" t="str">
        <x:v>Parsed from Tracker.gg MHTML/PDF export; competitive rows only.</x:v>
      </x:c>
      <x:c r="X226" t="n">
        <x:f>IF(L226="Win",1,0)</x:f>
        <x:v>0</x:v>
      </x:c>
      <x:c r="Y226" s="14" t="n">
        <x:f>IF(L226="Loss",1,0)</x:f>
        <x:v>1</x:v>
      </x:c>
      <x:c r="Z226" t="n">
        <x:f>IF(L226="Draw/Unknown",1,0)</x:f>
        <x:v>0</x:v>
      </x:c>
      <x:c r="AA226" s="16" t="str">
        <x:f>IF(OR(N226="",O226=""),"",N226-O226)</x:f>
      </x:c>
      <x:c r="AB226" s="16" t="n">
        <x:f>IF(T226=0,S226+U226,(S226+U226)/T226)</x:f>
        <x:v>2.4285714285714284</x:v>
      </x:c>
      <x:c r="AC226" t="n">
        <x:f>S226+U226</x:f>
        <x:v>17</x:v>
      </x:c>
      <x:c r="AD226" t="n">
        <x:f>IF(T226=0,1,0)</x:f>
        <x:v>0</x:v>
      </x:c>
      <x:c r="AE226" t="str">
        <x:f>IF(R226&gt;0,"Gain",IF(R226&lt;0,"Loss","Neutral"))</x:f>
        <x:v>Loss</x:v>
      </x:c>
    </x:row>
    <x:row r="227">
      <x:c r="A227" t="n">
        <x:v>226</x:v>
      </x:c>
      <x:c r="B227" s="12" t="n">
        <x:v>46114</x:v>
      </x:c>
      <x:c r="C227" t="str">
        <x:v>Apr 2</x:v>
      </x:c>
      <x:c r="D227" t="n">
        <x:v>17</x:v>
      </x:c>
      <x:c r="E227" t="n">
        <x:v>6</x:v>
      </x:c>
      <x:c r="F227" s="14" t="n">
        <x:v>11</x:v>
      </x:c>
      <x:c r="G227" t="str">
        <x:v>2mo ago</x:v>
      </x:c>
      <x:c r="H227" t="str">
        <x:v>Competitive</x:v>
      </x:c>
      <x:c r="I227" t="str">
        <x:v>Convoy</x:v>
      </x:c>
      <x:c r="J227" t="str">
        <x:v>Yggdrasill Path</x:v>
      </x:c>
      <x:c r="K227" t="str">
        <x:v>Storm</x:v>
      </x:c>
      <x:c r="L227" t="str">
        <x:v>Loss</x:v>
      </x:c>
      <x:c r="M227" t="str"/>
      <x:c r="N227" t="n">
        <x:v>4</x:v>
      </x:c>
      <x:c r="O227" t="n">
        <x:v>5</x:v>
      </x:c>
      <x:c r="P227" t="str">
        <x:v>Diamond II</x:v>
      </x:c>
      <x:c r="Q227" t="n">
        <x:v>4369</x:v>
      </x:c>
      <x:c r="R227" s="14" t="n">
        <x:v>-21</x:v>
      </x:c>
      <x:c r="S227" t="n">
        <x:v>24</x:v>
      </x:c>
      <x:c r="T227" t="n">
        <x:v>8</x:v>
      </x:c>
      <x:c r="U227" t="n">
        <x:v>9</x:v>
      </x:c>
      <x:c r="V227" s="16" t="n">
        <x:v>4.12</x:v>
      </x:c>
      <x:c r="W227" t="str">
        <x:v>Parsed from Tracker.gg MHTML/PDF export; competitive rows only.</x:v>
      </x:c>
      <x:c r="X227" t="n">
        <x:f>IF(L227="Win",1,0)</x:f>
        <x:v>0</x:v>
      </x:c>
      <x:c r="Y227" s="14" t="n">
        <x:f>IF(L227="Loss",1,0)</x:f>
        <x:v>1</x:v>
      </x:c>
      <x:c r="Z227" t="n">
        <x:f>IF(L227="Draw/Unknown",1,0)</x:f>
        <x:v>0</x:v>
      </x:c>
      <x:c r="AA227" s="16" t="n">
        <x:f>IF(OR(N227="",O227=""),"",N227-O227)</x:f>
        <x:v>-1</x:v>
      </x:c>
      <x:c r="AB227" s="16" t="n">
        <x:f>IF(T227=0,S227+U227,(S227+U227)/T227)</x:f>
        <x:v>4.125</x:v>
      </x:c>
      <x:c r="AC227" t="n">
        <x:f>S227+U227</x:f>
        <x:v>33</x:v>
      </x:c>
      <x:c r="AD227" t="n">
        <x:f>IF(T227=0,1,0)</x:f>
        <x:v>0</x:v>
      </x:c>
      <x:c r="AE227" t="str">
        <x:f>IF(R227&gt;0,"Gain",IF(R227&lt;0,"Loss","Neutral"))</x:f>
        <x:v>Loss</x:v>
      </x:c>
    </x:row>
    <x:row r="228">
      <x:c r="A228" t="n">
        <x:v>227</x:v>
      </x:c>
      <x:c r="B228" s="12" t="n">
        <x:v>46114</x:v>
      </x:c>
      <x:c r="C228" t="str">
        <x:v>Apr 2</x:v>
      </x:c>
      <x:c r="D228" t="n">
        <x:v>17</x:v>
      </x:c>
      <x:c r="E228" t="n">
        <x:v>6</x:v>
      </x:c>
      <x:c r="F228" s="14" t="n">
        <x:v>11</x:v>
      </x:c>
      <x:c r="G228" t="str">
        <x:v>2mo ago</x:v>
      </x:c>
      <x:c r="H228" t="str">
        <x:v>Competitive</x:v>
      </x:c>
      <x:c r="I228" t="str">
        <x:v>Convergence</x:v>
      </x:c>
      <x:c r="J228" t="str">
        <x:v>Symbiotic Surface</x:v>
      </x:c>
      <x:c r="K228" t="str">
        <x:v>Rogue</x:v>
      </x:c>
      <x:c r="L228" t="str">
        <x:v>Loss</x:v>
      </x:c>
      <x:c r="M228" t="str"/>
      <x:c r="N228" t="n">
        <x:v>3</x:v>
      </x:c>
      <x:c r="O228" t="n">
        <x:v>1</x:v>
      </x:c>
      <x:c r="P228" t="str">
        <x:v>Diamond I</x:v>
      </x:c>
      <x:c r="Q228" t="n">
        <x:v>4390</x:v>
      </x:c>
      <x:c r="R228" s="14" t="n">
        <x:v>-24</x:v>
      </x:c>
      <x:c r="S228" t="n">
        <x:v>13</x:v>
      </x:c>
      <x:c r="T228" t="n">
        <x:v>17</x:v>
      </x:c>
      <x:c r="U228" t="n">
        <x:v>1</x:v>
      </x:c>
      <x:c r="V228" s="16" t="n">
        <x:v>0.82</x:v>
      </x:c>
      <x:c r="W228" t="str">
        <x:v>Parsed from Tracker.gg MHTML/PDF export; competitive rows only.</x:v>
      </x:c>
      <x:c r="X228" t="n">
        <x:f>IF(L228="Win",1,0)</x:f>
        <x:v>0</x:v>
      </x:c>
      <x:c r="Y228" s="14" t="n">
        <x:f>IF(L228="Loss",1,0)</x:f>
        <x:v>1</x:v>
      </x:c>
      <x:c r="Z228" t="n">
        <x:f>IF(L228="Draw/Unknown",1,0)</x:f>
        <x:v>0</x:v>
      </x:c>
      <x:c r="AA228" s="16" t="n">
        <x:f>IF(OR(N228="",O228=""),"",N228-O228)</x:f>
        <x:v>2</x:v>
      </x:c>
      <x:c r="AB228" s="16" t="n">
        <x:f>IF(T228=0,S228+U228,(S228+U228)/T228)</x:f>
        <x:v>0.8235294117647058</x:v>
      </x:c>
      <x:c r="AC228" t="n">
        <x:f>S228+U228</x:f>
        <x:v>14</x:v>
      </x:c>
      <x:c r="AD228" t="n">
        <x:f>IF(T228=0,1,0)</x:f>
        <x:v>0</x:v>
      </x:c>
      <x:c r="AE228" t="str">
        <x:f>IF(R228&gt;0,"Gain",IF(R228&lt;0,"Loss","Neutral"))</x:f>
        <x:v>Loss</x:v>
      </x:c>
    </x:row>
    <x:row r="229">
      <x:c r="A229" t="n">
        <x:v>228</x:v>
      </x:c>
      <x:c r="B229" s="12" t="n">
        <x:v>46114</x:v>
      </x:c>
      <x:c r="C229" t="str">
        <x:v>Apr 2</x:v>
      </x:c>
      <x:c r="D229" t="n">
        <x:v>17</x:v>
      </x:c>
      <x:c r="E229" t="n">
        <x:v>6</x:v>
      </x:c>
      <x:c r="F229" s="14" t="n">
        <x:v>11</x:v>
      </x:c>
      <x:c r="G229" t="str">
        <x:v>2mo ago</x:v>
      </x:c>
      <x:c r="H229" t="str">
        <x:v>Competitive</x:v>
      </x:c>
      <x:c r="I229" t="str">
        <x:v>Convoy</x:v>
      </x:c>
      <x:c r="J229" t="str">
        <x:v>Arakko</x:v>
      </x:c>
      <x:c r="K229" t="str">
        <x:v>Peni Parker</x:v>
      </x:c>
      <x:c r="L229" t="str">
        <x:v>Win</x:v>
      </x:c>
      <x:c r="M229" t="str">
        <x:v>MVP</x:v>
      </x:c>
      <x:c r="N229" t="n">
        <x:v>1</x:v>
      </x:c>
      <x:c r="O229" t="n">
        <x:v>0</x:v>
      </x:c>
      <x:c r="P229" t="str">
        <x:v>Diamond I</x:v>
      </x:c>
      <x:c r="Q229" t="n">
        <x:v>4413</x:v>
      </x:c>
      <x:c r="R229" s="14" t="n">
        <x:v>25</x:v>
      </x:c>
      <x:c r="S229" t="n">
        <x:v>23</x:v>
      </x:c>
      <x:c r="T229" t="n">
        <x:v>6</x:v>
      </x:c>
      <x:c r="U229" t="n">
        <x:v>21</x:v>
      </x:c>
      <x:c r="V229" s="16" t="n">
        <x:v>7.33</x:v>
      </x:c>
      <x:c r="W229" t="str">
        <x:v>Parsed from Tracker.gg MHTML/PDF export; competitive rows only.</x:v>
      </x:c>
      <x:c r="X229" t="n">
        <x:f>IF(L229="Win",1,0)</x:f>
        <x:v>1</x:v>
      </x:c>
      <x:c r="Y229" s="14" t="n">
        <x:f>IF(L229="Loss",1,0)</x:f>
        <x:v>0</x:v>
      </x:c>
      <x:c r="Z229" t="n">
        <x:f>IF(L229="Draw/Unknown",1,0)</x:f>
        <x:v>0</x:v>
      </x:c>
      <x:c r="AA229" s="16" t="str">
        <x:f>IF(OR(N229="",O229=""),"",N229-O229)</x:f>
      </x:c>
      <x:c r="AB229" s="16" t="n">
        <x:f>IF(T229=0,S229+U229,(S229+U229)/T229)</x:f>
        <x:v>7.333333333333333</x:v>
      </x:c>
      <x:c r="AC229" t="n">
        <x:f>S229+U229</x:f>
        <x:v>44</x:v>
      </x:c>
      <x:c r="AD229" t="n">
        <x:f>IF(T229=0,1,0)</x:f>
        <x:v>0</x:v>
      </x:c>
      <x:c r="AE229" t="str">
        <x:f>IF(R229&gt;0,"Gain",IF(R229&lt;0,"Loss","Neutral"))</x:f>
        <x:v>Gain</x:v>
      </x:c>
    </x:row>
    <x:row r="230">
      <x:c r="A230" t="n">
        <x:v>229</x:v>
      </x:c>
      <x:c r="B230" s="12" t="n">
        <x:v>46112</x:v>
      </x:c>
      <x:c r="C230" t="str">
        <x:v>Mar 31</x:v>
      </x:c>
      <x:c r="D230" t="n">
        <x:v>14</x:v>
      </x:c>
      <x:c r="E230" t="n">
        <x:v>6</x:v>
      </x:c>
      <x:c r="F230" s="14" t="n">
        <x:v>8</x:v>
      </x:c>
      <x:c r="G230" t="str">
        <x:v>2mo ago</x:v>
      </x:c>
      <x:c r="H230" t="str">
        <x:v>Competitive</x:v>
      </x:c>
      <x:c r="I230" t="str">
        <x:v>Convergence</x:v>
      </x:c>
      <x:c r="J230" t="str">
        <x:v>Central Park</x:v>
      </x:c>
      <x:c r="K230" t="str">
        <x:v>Bruce Banner</x:v>
      </x:c>
      <x:c r="L230" t="str">
        <x:v>Loss</x:v>
      </x:c>
      <x:c r="M230" t="str"/>
      <x:c r="N230" t="n">
        <x:v>2</x:v>
      </x:c>
      <x:c r="O230" t="n">
        <x:v>3</x:v>
      </x:c>
      <x:c r="P230" t="str">
        <x:v>Diamond I</x:v>
      </x:c>
      <x:c r="Q230" t="n">
        <x:v>4388</x:v>
      </x:c>
      <x:c r="R230" s="14" t="n">
        <x:v>-18</x:v>
      </x:c>
      <x:c r="S230" t="n">
        <x:v>15</x:v>
      </x:c>
      <x:c r="T230" t="n">
        <x:v>10</x:v>
      </x:c>
      <x:c r="U230" t="n">
        <x:v>10</x:v>
      </x:c>
      <x:c r="V230" s="16" t="n">
        <x:v>2.5</x:v>
      </x:c>
      <x:c r="W230" t="str">
        <x:v>Parsed from Tracker.gg MHTML/PDF export; competitive rows only.</x:v>
      </x:c>
      <x:c r="X230" t="n">
        <x:f>IF(L230="Win",1,0)</x:f>
        <x:v>0</x:v>
      </x:c>
      <x:c r="Y230" s="14" t="n">
        <x:f>IF(L230="Loss",1,0)</x:f>
        <x:v>1</x:v>
      </x:c>
      <x:c r="Z230" t="n">
        <x:f>IF(L230="Draw/Unknown",1,0)</x:f>
        <x:v>0</x:v>
      </x:c>
      <x:c r="AA230" s="16" t="n">
        <x:f>IF(OR(N230="",O230=""),"",N230-O230)</x:f>
        <x:v>-1</x:v>
      </x:c>
      <x:c r="AB230" s="16" t="n">
        <x:f>IF(T230=0,S230+U230,(S230+U230)/T230)</x:f>
        <x:v>2.5</x:v>
      </x:c>
      <x:c r="AC230" t="n">
        <x:f>S230+U230</x:f>
        <x:v>25</x:v>
      </x:c>
      <x:c r="AD230" t="n">
        <x:f>IF(T230=0,1,0)</x:f>
        <x:v>0</x:v>
      </x:c>
      <x:c r="AE230" t="str">
        <x:f>IF(R230&gt;0,"Gain",IF(R230&lt;0,"Loss","Neutral"))</x:f>
        <x:v>Loss</x:v>
      </x:c>
    </x:row>
    <x:row r="231">
      <x:c r="A231" t="n">
        <x:v>230</x:v>
      </x:c>
      <x:c r="B231" s="12" t="n">
        <x:v>46112</x:v>
      </x:c>
      <x:c r="C231" t="str">
        <x:v>Mar 31</x:v>
      </x:c>
      <x:c r="D231" t="n">
        <x:v>14</x:v>
      </x:c>
      <x:c r="E231" t="n">
        <x:v>6</x:v>
      </x:c>
      <x:c r="F231" s="14" t="n">
        <x:v>8</x:v>
      </x:c>
      <x:c r="G231" t="str">
        <x:v>2mo ago</x:v>
      </x:c>
      <x:c r="H231" t="str">
        <x:v>Competitive</x:v>
      </x:c>
      <x:c r="I231" t="str">
        <x:v>Convergence</x:v>
      </x:c>
      <x:c r="J231" t="str">
        <x:v>Heart Of Heaven</x:v>
      </x:c>
      <x:c r="K231" t="str">
        <x:v>Scarlet Witch</x:v>
      </x:c>
      <x:c r="L231" t="str">
        <x:v>Loss</x:v>
      </x:c>
      <x:c r="M231" t="str">
        <x:v>SVP</x:v>
      </x:c>
      <x:c r="N231" t="n">
        <x:v>2</x:v>
      </x:c>
      <x:c r="O231" t="n">
        <x:v>3</x:v>
      </x:c>
      <x:c r="P231" t="str">
        <x:v>Diamond I</x:v>
      </x:c>
      <x:c r="Q231" t="n">
        <x:v>4405</x:v>
      </x:c>
      <x:c r="R231" s="14" t="n">
        <x:v>-20</x:v>
      </x:c>
      <x:c r="S231" t="n">
        <x:v>26</x:v>
      </x:c>
      <x:c r="T231" t="n">
        <x:v>11</x:v>
      </x:c>
      <x:c r="U231" t="n">
        <x:v>6</x:v>
      </x:c>
      <x:c r="V231" s="16" t="n">
        <x:v>2.91</x:v>
      </x:c>
      <x:c r="W231" t="str">
        <x:v>Parsed from Tracker.gg MHTML/PDF export; competitive rows only.</x:v>
      </x:c>
      <x:c r="X231" t="n">
        <x:f>IF(L231="Win",1,0)</x:f>
        <x:v>0</x:v>
      </x:c>
      <x:c r="Y231" s="14" t="n">
        <x:f>IF(L231="Loss",1,0)</x:f>
        <x:v>1</x:v>
      </x:c>
      <x:c r="Z231" t="n">
        <x:f>IF(L231="Draw/Unknown",1,0)</x:f>
        <x:v>0</x:v>
      </x:c>
      <x:c r="AA231" s="16" t="n">
        <x:f>IF(OR(N231="",O231=""),"",N231-O231)</x:f>
        <x:v>-1</x:v>
      </x:c>
      <x:c r="AB231" s="16" t="n">
        <x:f>IF(T231=0,S231+U231,(S231+U231)/T231)</x:f>
        <x:v>2.909090909090909</x:v>
      </x:c>
      <x:c r="AC231" t="n">
        <x:f>S231+U231</x:f>
        <x:v>32</x:v>
      </x:c>
      <x:c r="AD231" t="n">
        <x:f>IF(T231=0,1,0)</x:f>
        <x:v>0</x:v>
      </x:c>
      <x:c r="AE231" t="str">
        <x:f>IF(R231&gt;0,"Gain",IF(R231&lt;0,"Loss","Neutral"))</x:f>
        <x:v>Loss</x:v>
      </x:c>
    </x:row>
    <x:row r="232">
      <x:c r="A232" t="n">
        <x:v>231</x:v>
      </x:c>
      <x:c r="B232" s="12" t="n">
        <x:v>46112</x:v>
      </x:c>
      <x:c r="C232" t="str">
        <x:v>Mar 31</x:v>
      </x:c>
      <x:c r="D232" t="n">
        <x:v>14</x:v>
      </x:c>
      <x:c r="E232" t="n">
        <x:v>6</x:v>
      </x:c>
      <x:c r="F232" s="14" t="n">
        <x:v>8</x:v>
      </x:c>
      <x:c r="G232" t="str">
        <x:v>2mo ago</x:v>
      </x:c>
      <x:c r="H232" t="str">
        <x:v>Competitive</x:v>
      </x:c>
      <x:c r="I232" t="str">
        <x:v>Convergence</x:v>
      </x:c>
      <x:c r="J232" t="str">
        <x:v>Symbiotic Surface</x:v>
      </x:c>
      <x:c r="K232" t="str">
        <x:v>Squirrel Girl</x:v>
      </x:c>
      <x:c r="L232" t="str">
        <x:v>Win</x:v>
      </x:c>
      <x:c r="M232" t="str"/>
      <x:c r="N232" t="n">
        <x:v>1</x:v>
      </x:c>
      <x:c r="O232" t="n">
        <x:v>0</x:v>
      </x:c>
      <x:c r="P232" t="str">
        <x:v>Diamond I</x:v>
      </x:c>
      <x:c r="Q232" t="n">
        <x:v>4425</x:v>
      </x:c>
      <x:c r="R232" s="14" t="n">
        <x:v>24</x:v>
      </x:c>
      <x:c r="S232" t="n">
        <x:v>19</x:v>
      </x:c>
      <x:c r="T232" t="n">
        <x:v>2</x:v>
      </x:c>
      <x:c r="U232" t="n">
        <x:v>3</x:v>
      </x:c>
      <x:c r="V232" s="16" t="n">
        <x:v>11</x:v>
      </x:c>
      <x:c r="W232" t="str">
        <x:v>Parsed from Tracker.gg MHTML/PDF export; competitive rows only.</x:v>
      </x:c>
      <x:c r="X232" t="n">
        <x:f>IF(L232="Win",1,0)</x:f>
        <x:v>1</x:v>
      </x:c>
      <x:c r="Y232" s="14" t="n">
        <x:f>IF(L232="Loss",1,0)</x:f>
        <x:v>0</x:v>
      </x:c>
      <x:c r="Z232" t="n">
        <x:f>IF(L232="Draw/Unknown",1,0)</x:f>
        <x:v>0</x:v>
      </x:c>
      <x:c r="AA232" s="16" t="str">
        <x:f>IF(OR(N232="",O232=""),"",N232-O232)</x:f>
      </x:c>
      <x:c r="AB232" s="16" t="n">
        <x:f>IF(T232=0,S232+U232,(S232+U232)/T232)</x:f>
        <x:v>11</x:v>
      </x:c>
      <x:c r="AC232" t="n">
        <x:f>S232+U232</x:f>
        <x:v>22</x:v>
      </x:c>
      <x:c r="AD232" t="n">
        <x:f>IF(T232=0,1,0)</x:f>
        <x:v>0</x:v>
      </x:c>
      <x:c r="AE232" t="str">
        <x:f>IF(R232&gt;0,"Gain",IF(R232&lt;0,"Loss","Neutral"))</x:f>
        <x:v>Gain</x:v>
      </x:c>
    </x:row>
    <x:row r="233">
      <x:c r="A233" t="n">
        <x:v>232</x:v>
      </x:c>
      <x:c r="B233" s="12" t="n">
        <x:v>46112</x:v>
      </x:c>
      <x:c r="C233" t="str">
        <x:v>Mar 31</x:v>
      </x:c>
      <x:c r="D233" t="n">
        <x:v>14</x:v>
      </x:c>
      <x:c r="E233" t="n">
        <x:v>6</x:v>
      </x:c>
      <x:c r="F233" s="14" t="n">
        <x:v>8</x:v>
      </x:c>
      <x:c r="G233" t="str">
        <x:v>2mo ago</x:v>
      </x:c>
      <x:c r="H233" t="str">
        <x:v>Competitive</x:v>
      </x:c>
      <x:c r="I233" t="str">
        <x:v>Convergence</x:v>
      </x:c>
      <x:c r="J233" t="str">
        <x:v>Hall Of Djalia</x:v>
      </x:c>
      <x:c r="K233" t="str">
        <x:v>Captain America</x:v>
      </x:c>
      <x:c r="L233" t="str">
        <x:v>Win</x:v>
      </x:c>
      <x:c r="M233" t="str"/>
      <x:c r="N233" t="n">
        <x:v>3</x:v>
      </x:c>
      <x:c r="O233" t="n">
        <x:v>0</x:v>
      </x:c>
      <x:c r="P233" t="str">
        <x:v>Diamond I</x:v>
      </x:c>
      <x:c r="Q233" t="n">
        <x:v>4401</x:v>
      </x:c>
      <x:c r="R233" s="14" t="n">
        <x:v>24</x:v>
      </x:c>
      <x:c r="S233" t="n">
        <x:v>29</x:v>
      </x:c>
      <x:c r="T233" t="n">
        <x:v>5</x:v>
      </x:c>
      <x:c r="U233" t="n">
        <x:v>0</x:v>
      </x:c>
      <x:c r="V233" s="16" t="n">
        <x:v>5.8</x:v>
      </x:c>
      <x:c r="W233" t="str">
        <x:v>Parsed from Tracker.gg MHTML/PDF export; competitive rows only.</x:v>
      </x:c>
      <x:c r="X233" t="n">
        <x:f>IF(L233="Win",1,0)</x:f>
        <x:v>1</x:v>
      </x:c>
      <x:c r="Y233" s="14" t="n">
        <x:f>IF(L233="Loss",1,0)</x:f>
        <x:v>0</x:v>
      </x:c>
      <x:c r="Z233" t="n">
        <x:f>IF(L233="Draw/Unknown",1,0)</x:f>
        <x:v>0</x:v>
      </x:c>
      <x:c r="AA233" s="16" t="str">
        <x:f>IF(OR(N233="",O233=""),"",N233-O233)</x:f>
      </x:c>
      <x:c r="AB233" s="16" t="n">
        <x:f>IF(T233=0,S233+U233,(S233+U233)/T233)</x:f>
        <x:v>5.8</x:v>
      </x:c>
      <x:c r="AC233" t="n">
        <x:f>S233+U233</x:f>
        <x:v>29</x:v>
      </x:c>
      <x:c r="AD233" t="n">
        <x:f>IF(T233=0,1,0)</x:f>
        <x:v>0</x:v>
      </x:c>
      <x:c r="AE233" t="str">
        <x:f>IF(R233&gt;0,"Gain",IF(R233&lt;0,"Loss","Neutral"))</x:f>
        <x:v>Gain</x:v>
      </x:c>
    </x:row>
    <x:row r="234">
      <x:c r="A234" t="n">
        <x:v>233</x:v>
      </x:c>
      <x:c r="B234" s="12" t="n">
        <x:v>46112</x:v>
      </x:c>
      <x:c r="C234" t="str">
        <x:v>Mar 31</x:v>
      </x:c>
      <x:c r="D234" t="n">
        <x:v>14</x:v>
      </x:c>
      <x:c r="E234" t="n">
        <x:v>6</x:v>
      </x:c>
      <x:c r="F234" s="14" t="n">
        <x:v>8</x:v>
      </x:c>
      <x:c r="G234" t="str">
        <x:v>2mo ago</x:v>
      </x:c>
      <x:c r="H234" t="str">
        <x:v>Competitive</x:v>
      </x:c>
      <x:c r="I234" t="str">
        <x:v>Convergence</x:v>
      </x:c>
      <x:c r="J234" t="str">
        <x:v>Central Park</x:v>
      </x:c>
      <x:c r="K234" t="str">
        <x:v>Bruce Banner</x:v>
      </x:c>
      <x:c r="L234" t="str">
        <x:v>Loss</x:v>
      </x:c>
      <x:c r="M234" t="str"/>
      <x:c r="N234" t="n">
        <x:v>5</x:v>
      </x:c>
      <x:c r="O234" t="n">
        <x:v>4</x:v>
      </x:c>
      <x:c r="P234" t="str">
        <x:v>Diamond I</x:v>
      </x:c>
      <x:c r="Q234" t="n">
        <x:v>4376</x:v>
      </x:c>
      <x:c r="R234" s="14" t="n">
        <x:v>-24</x:v>
      </x:c>
      <x:c r="S234" t="n">
        <x:v>25</x:v>
      </x:c>
      <x:c r="T234" t="n">
        <x:v>17</x:v>
      </x:c>
      <x:c r="U234" t="n">
        <x:v>7</x:v>
      </x:c>
      <x:c r="V234" s="16" t="n">
        <x:v>1.88</x:v>
      </x:c>
      <x:c r="W234" t="str">
        <x:v>Parsed from Tracker.gg MHTML/PDF export; competitive rows only.</x:v>
      </x:c>
      <x:c r="X234" t="n">
        <x:f>IF(L234="Win",1,0)</x:f>
        <x:v>0</x:v>
      </x:c>
      <x:c r="Y234" s="14" t="n">
        <x:f>IF(L234="Loss",1,0)</x:f>
        <x:v>1</x:v>
      </x:c>
      <x:c r="Z234" t="n">
        <x:f>IF(L234="Draw/Unknown",1,0)</x:f>
        <x:v>0</x:v>
      </x:c>
      <x:c r="AA234" s="16" t="n">
        <x:f>IF(OR(N234="",O234=""),"",N234-O234)</x:f>
        <x:v>1</x:v>
      </x:c>
      <x:c r="AB234" s="16" t="n">
        <x:f>IF(T234=0,S234+U234,(S234+U234)/T234)</x:f>
        <x:v>1.8823529411764706</x:v>
      </x:c>
      <x:c r="AC234" t="n">
        <x:f>S234+U234</x:f>
        <x:v>32</x:v>
      </x:c>
      <x:c r="AD234" t="n">
        <x:f>IF(T234=0,1,0)</x:f>
        <x:v>0</x:v>
      </x:c>
      <x:c r="AE234" t="str">
        <x:f>IF(R234&gt;0,"Gain",IF(R234&lt;0,"Loss","Neutral"))</x:f>
        <x:v>Loss</x:v>
      </x:c>
    </x:row>
    <x:row r="235">
      <x:c r="A235" t="n">
        <x:v>234</x:v>
      </x:c>
      <x:c r="B235" s="12" t="n">
        <x:v>46112</x:v>
      </x:c>
      <x:c r="C235" t="str">
        <x:v>Mar 31</x:v>
      </x:c>
      <x:c r="D235" t="n">
        <x:v>14</x:v>
      </x:c>
      <x:c r="E235" t="n">
        <x:v>6</x:v>
      </x:c>
      <x:c r="F235" s="14" t="n">
        <x:v>8</x:v>
      </x:c>
      <x:c r="G235" t="str">
        <x:v>2mo ago</x:v>
      </x:c>
      <x:c r="H235" t="str">
        <x:v>Competitive</x:v>
      </x:c>
      <x:c r="I235" t="str">
        <x:v>Convergence</x:v>
      </x:c>
      <x:c r="J235" t="str">
        <x:v>Hall Of Djalia</x:v>
      </x:c>
      <x:c r="K235" t="str">
        <x:v>Ultron</x:v>
      </x:c>
      <x:c r="L235" t="str">
        <x:v>Win</x:v>
      </x:c>
      <x:c r="M235" t="str"/>
      <x:c r="N235" t="n">
        <x:v>3</x:v>
      </x:c>
      <x:c r="O235" t="n">
        <x:v>1</x:v>
      </x:c>
      <x:c r="P235" t="str">
        <x:v>Diamond I</x:v>
      </x:c>
      <x:c r="Q235" t="n">
        <x:v>4399</x:v>
      </x:c>
      <x:c r="R235" s="14" t="n">
        <x:v>25</x:v>
      </x:c>
      <x:c r="S235" t="n">
        <x:v>40</x:v>
      </x:c>
      <x:c r="T235" t="n">
        <x:v>4</x:v>
      </x:c>
      <x:c r="U235" t="n">
        <x:v>60</x:v>
      </x:c>
      <x:c r="V235" s="16" t="n">
        <x:v>25</x:v>
      </x:c>
      <x:c r="W235" t="str">
        <x:v>Parsed from Tracker.gg MHTML/PDF export; competitive rows only.</x:v>
      </x:c>
      <x:c r="X235" t="n">
        <x:f>IF(L235="Win",1,0)</x:f>
        <x:v>1</x:v>
      </x:c>
      <x:c r="Y235" s="14" t="n">
        <x:f>IF(L235="Loss",1,0)</x:f>
        <x:v>0</x:v>
      </x:c>
      <x:c r="Z235" t="n">
        <x:f>IF(L235="Draw/Unknown",1,0)</x:f>
        <x:v>0</x:v>
      </x:c>
      <x:c r="AA235" s="16" t="n">
        <x:f>IF(OR(N235="",O235=""),"",N235-O235)</x:f>
        <x:v>2</x:v>
      </x:c>
      <x:c r="AB235" s="16" t="n">
        <x:f>IF(T235=0,S235+U235,(S235+U235)/T235)</x:f>
        <x:v>25</x:v>
      </x:c>
      <x:c r="AC235" t="n">
        <x:f>S235+U235</x:f>
        <x:v>100</x:v>
      </x:c>
      <x:c r="AD235" t="n">
        <x:f>IF(T235=0,1,0)</x:f>
        <x:v>0</x:v>
      </x:c>
      <x:c r="AE235" t="str">
        <x:f>IF(R235&gt;0,"Gain",IF(R235&lt;0,"Loss","Neutral"))</x:f>
        <x:v>Gain</x:v>
      </x:c>
    </x:row>
    <x:row r="236">
      <x:c r="A236" t="n">
        <x:v>235</x:v>
      </x:c>
      <x:c r="B236" s="12" t="n">
        <x:v>46112</x:v>
      </x:c>
      <x:c r="C236" t="str">
        <x:v>Mar 31</x:v>
      </x:c>
      <x:c r="D236" t="n">
        <x:v>14</x:v>
      </x:c>
      <x:c r="E236" t="n">
        <x:v>6</x:v>
      </x:c>
      <x:c r="F236" s="14" t="n">
        <x:v>8</x:v>
      </x:c>
      <x:c r="G236" t="str">
        <x:v>2mo ago</x:v>
      </x:c>
      <x:c r="H236" t="str">
        <x:v>Competitive</x:v>
      </x:c>
      <x:c r="I236" t="str">
        <x:v>Domination</x:v>
      </x:c>
      <x:c r="J236" t="str">
        <x:v>Hell's Heaven</x:v>
      </x:c>
      <x:c r="K236" t="str">
        <x:v>The Thing</x:v>
      </x:c>
      <x:c r="L236" t="str">
        <x:v>Loss</x:v>
      </x:c>
      <x:c r="M236" t="str"/>
      <x:c r="N236" t="n">
        <x:v>2</x:v>
      </x:c>
      <x:c r="O236" t="n">
        <x:v>1</x:v>
      </x:c>
      <x:c r="P236" t="str">
        <x:v>Diamond I</x:v>
      </x:c>
      <x:c r="Q236" t="n">
        <x:v>4374</x:v>
      </x:c>
      <x:c r="R236" s="14" t="n">
        <x:v>-19</x:v>
      </x:c>
      <x:c r="S236" t="n">
        <x:v>15</x:v>
      </x:c>
      <x:c r="T236" t="n">
        <x:v>9</x:v>
      </x:c>
      <x:c r="U236" t="n">
        <x:v>9</x:v>
      </x:c>
      <x:c r="V236" s="16" t="n">
        <x:v>2.67</x:v>
      </x:c>
      <x:c r="W236" t="str">
        <x:v>Parsed from Tracker.gg MHTML/PDF export; competitive rows only.</x:v>
      </x:c>
      <x:c r="X236" t="n">
        <x:f>IF(L236="Win",1,0)</x:f>
        <x:v>0</x:v>
      </x:c>
      <x:c r="Y236" s="14" t="n">
        <x:f>IF(L236="Loss",1,0)</x:f>
        <x:v>1</x:v>
      </x:c>
      <x:c r="Z236" t="n">
        <x:f>IF(L236="Draw/Unknown",1,0)</x:f>
        <x:v>0</x:v>
      </x:c>
      <x:c r="AA236" s="16" t="n">
        <x:f>IF(OR(N236="",O236=""),"",N236-O236)</x:f>
        <x:v>1</x:v>
      </x:c>
      <x:c r="AB236" s="16" t="n">
        <x:f>IF(T236=0,S236+U236,(S236+U236)/T236)</x:f>
        <x:v>2.6666666666666665</x:v>
      </x:c>
      <x:c r="AC236" t="n">
        <x:f>S236+U236</x:f>
        <x:v>24</x:v>
      </x:c>
      <x:c r="AD236" t="n">
        <x:f>IF(T236=0,1,0)</x:f>
        <x:v>0</x:v>
      </x:c>
      <x:c r="AE236" t="str">
        <x:f>IF(R236&gt;0,"Gain",IF(R236&lt;0,"Loss","Neutral"))</x:f>
        <x:v>Loss</x:v>
      </x:c>
    </x:row>
    <x:row r="237">
      <x:c r="A237" t="n">
        <x:v>236</x:v>
      </x:c>
      <x:c r="B237" s="12" t="n">
        <x:v>46112</x:v>
      </x:c>
      <x:c r="C237" t="str">
        <x:v>Mar 31</x:v>
      </x:c>
      <x:c r="D237" t="n">
        <x:v>14</x:v>
      </x:c>
      <x:c r="E237" t="n">
        <x:v>6</x:v>
      </x:c>
      <x:c r="F237" s="14" t="n">
        <x:v>8</x:v>
      </x:c>
      <x:c r="G237" t="str">
        <x:v>2mo ago</x:v>
      </x:c>
      <x:c r="H237" t="str">
        <x:v>Competitive</x:v>
      </x:c>
      <x:c r="I237" t="str">
        <x:v>Convoy</x:v>
      </x:c>
      <x:c r="J237" t="str">
        <x:v>Spider-Islands</x:v>
      </x:c>
      <x:c r="K237" t="str">
        <x:v>The Thing</x:v>
      </x:c>
      <x:c r="L237" t="str">
        <x:v>Loss</x:v>
      </x:c>
      <x:c r="M237" t="str"/>
      <x:c r="N237" t="n">
        <x:v>2</x:v>
      </x:c>
      <x:c r="O237" t="n">
        <x:v>0</x:v>
      </x:c>
      <x:c r="P237" t="str">
        <x:v>Diamond I</x:v>
      </x:c>
      <x:c r="Q237" t="n">
        <x:v>4392</x:v>
      </x:c>
      <x:c r="R237" s="14" t="n">
        <x:v>-20</x:v>
      </x:c>
      <x:c r="S237" t="n">
        <x:v>13</x:v>
      </x:c>
      <x:c r="T237" t="n">
        <x:v>13</x:v>
      </x:c>
      <x:c r="U237" t="n">
        <x:v>7</x:v>
      </x:c>
      <x:c r="V237" s="16" t="n">
        <x:v>1.54</x:v>
      </x:c>
      <x:c r="W237" t="str">
        <x:v>Parsed from Tracker.gg MHTML/PDF export; competitive rows only.</x:v>
      </x:c>
      <x:c r="X237" t="n">
        <x:f>IF(L237="Win",1,0)</x:f>
        <x:v>0</x:v>
      </x:c>
      <x:c r="Y237" s="14" t="n">
        <x:f>IF(L237="Loss",1,0)</x:f>
        <x:v>1</x:v>
      </x:c>
      <x:c r="Z237" t="n">
        <x:f>IF(L237="Draw/Unknown",1,0)</x:f>
        <x:v>0</x:v>
      </x:c>
      <x:c r="AA237" s="16" t="str">
        <x:f>IF(OR(N237="",O237=""),"",N237-O237)</x:f>
      </x:c>
      <x:c r="AB237" s="16" t="n">
        <x:f>IF(T237=0,S237+U237,(S237+U237)/T237)</x:f>
        <x:v>1.5384615384615385</x:v>
      </x:c>
      <x:c r="AC237" t="n">
        <x:f>S237+U237</x:f>
        <x:v>20</x:v>
      </x:c>
      <x:c r="AD237" t="n">
        <x:f>IF(T237=0,1,0)</x:f>
        <x:v>0</x:v>
      </x:c>
      <x:c r="AE237" t="str">
        <x:f>IF(R237&gt;0,"Gain",IF(R237&lt;0,"Loss","Neutral"))</x:f>
        <x:v>Loss</x:v>
      </x:c>
    </x:row>
    <x:row r="238">
      <x:c r="A238" t="n">
        <x:v>237</x:v>
      </x:c>
      <x:c r="B238" s="12" t="n">
        <x:v>46112</x:v>
      </x:c>
      <x:c r="C238" t="str">
        <x:v>Mar 31</x:v>
      </x:c>
      <x:c r="D238" t="n">
        <x:v>14</x:v>
      </x:c>
      <x:c r="E238" t="n">
        <x:v>6</x:v>
      </x:c>
      <x:c r="F238" s="14" t="n">
        <x:v>8</x:v>
      </x:c>
      <x:c r="G238" t="str">
        <x:v>2mo ago</x:v>
      </x:c>
      <x:c r="H238" t="str">
        <x:v>Competitive</x:v>
      </x:c>
      <x:c r="I238" t="str">
        <x:v>Domination</x:v>
      </x:c>
      <x:c r="J238" t="str">
        <x:v>Birnin T'Challa</x:v>
      </x:c>
      <x:c r="K238" t="str">
        <x:v>Rogue</x:v>
      </x:c>
      <x:c r="L238" t="str">
        <x:v>Win</x:v>
      </x:c>
      <x:c r="M238" t="str"/>
      <x:c r="N238" t="n">
        <x:v>2</x:v>
      </x:c>
      <x:c r="O238" t="n">
        <x:v>0</x:v>
      </x:c>
      <x:c r="P238" t="str">
        <x:v>Diamond I</x:v>
      </x:c>
      <x:c r="Q238" t="n">
        <x:v>4412</x:v>
      </x:c>
      <x:c r="R238" s="14" t="n">
        <x:v>23</x:v>
      </x:c>
      <x:c r="S238" t="n">
        <x:v>14</x:v>
      </x:c>
      <x:c r="T238" t="n">
        <x:v>4</x:v>
      </x:c>
      <x:c r="U238" t="n">
        <x:v>6</x:v>
      </x:c>
      <x:c r="V238" s="16" t="n">
        <x:v>5</x:v>
      </x:c>
      <x:c r="W238" t="str">
        <x:v>Parsed from Tracker.gg MHTML/PDF export; competitive rows only.</x:v>
      </x:c>
      <x:c r="X238" t="n">
        <x:f>IF(L238="Win",1,0)</x:f>
        <x:v>1</x:v>
      </x:c>
      <x:c r="Y238" s="14" t="n">
        <x:f>IF(L238="Loss",1,0)</x:f>
        <x:v>0</x:v>
      </x:c>
      <x:c r="Z238" t="n">
        <x:f>IF(L238="Draw/Unknown",1,0)</x:f>
        <x:v>0</x:v>
      </x:c>
      <x:c r="AA238" s="16" t="str">
        <x:f>IF(OR(N238="",O238=""),"",N238-O238)</x:f>
      </x:c>
      <x:c r="AB238" s="16" t="n">
        <x:f>IF(T238=0,S238+U238,(S238+U238)/T238)</x:f>
        <x:v>5</x:v>
      </x:c>
      <x:c r="AC238" t="n">
        <x:f>S238+U238</x:f>
        <x:v>20</x:v>
      </x:c>
      <x:c r="AD238" t="n">
        <x:f>IF(T238=0,1,0)</x:f>
        <x:v>0</x:v>
      </x:c>
      <x:c r="AE238" t="str">
        <x:f>IF(R238&gt;0,"Gain",IF(R238&lt;0,"Loss","Neutral"))</x:f>
        <x:v>Gain</x:v>
      </x:c>
    </x:row>
    <x:row r="239">
      <x:c r="A239" t="n">
        <x:v>238</x:v>
      </x:c>
      <x:c r="B239" s="12" t="n">
        <x:v>46112</x:v>
      </x:c>
      <x:c r="C239" t="str">
        <x:v>Mar 31</x:v>
      </x:c>
      <x:c r="D239" t="n">
        <x:v>14</x:v>
      </x:c>
      <x:c r="E239" t="n">
        <x:v>6</x:v>
      </x:c>
      <x:c r="F239" s="14" t="n">
        <x:v>8</x:v>
      </x:c>
      <x:c r="G239" t="str">
        <x:v>2mo ago</x:v>
      </x:c>
      <x:c r="H239" t="str">
        <x:v>Competitive</x:v>
      </x:c>
      <x:c r="I239" t="str">
        <x:v>Convergence</x:v>
      </x:c>
      <x:c r="J239" t="str">
        <x:v>Symbiotic Surface</x:v>
      </x:c>
      <x:c r="K239" t="str">
        <x:v>The Thing</x:v>
      </x:c>
      <x:c r="L239" t="str">
        <x:v>Win</x:v>
      </x:c>
      <x:c r="M239" t="str"/>
      <x:c r="N239" t="n">
        <x:v>3</x:v>
      </x:c>
      <x:c r="O239" t="n">
        <x:v>2</x:v>
      </x:c>
      <x:c r="P239" t="str">
        <x:v>Diamond II</x:v>
      </x:c>
      <x:c r="Q239" t="n">
        <x:v>4388</x:v>
      </x:c>
      <x:c r="R239" s="14" t="n">
        <x:v>23</x:v>
      </x:c>
      <x:c r="S239" t="n">
        <x:v>20</x:v>
      </x:c>
      <x:c r="T239" t="n">
        <x:v>8</x:v>
      </x:c>
      <x:c r="U239" t="n">
        <x:v>13</x:v>
      </x:c>
      <x:c r="V239" s="16" t="n">
        <x:v>4.12</x:v>
      </x:c>
      <x:c r="W239" t="str">
        <x:v>Parsed from Tracker.gg MHTML/PDF export; competitive rows only.</x:v>
      </x:c>
      <x:c r="X239" t="n">
        <x:f>IF(L239="Win",1,0)</x:f>
        <x:v>1</x:v>
      </x:c>
      <x:c r="Y239" s="14" t="n">
        <x:f>IF(L239="Loss",1,0)</x:f>
        <x:v>0</x:v>
      </x:c>
      <x:c r="Z239" t="n">
        <x:f>IF(L239="Draw/Unknown",1,0)</x:f>
        <x:v>0</x:v>
      </x:c>
      <x:c r="AA239" s="16" t="n">
        <x:f>IF(OR(N239="",O239=""),"",N239-O239)</x:f>
        <x:v>1</x:v>
      </x:c>
      <x:c r="AB239" s="16" t="n">
        <x:f>IF(T239=0,S239+U239,(S239+U239)/T239)</x:f>
        <x:v>4.125</x:v>
      </x:c>
      <x:c r="AC239" t="n">
        <x:f>S239+U239</x:f>
        <x:v>33</x:v>
      </x:c>
      <x:c r="AD239" t="n">
        <x:f>IF(T239=0,1,0)</x:f>
        <x:v>0</x:v>
      </x:c>
      <x:c r="AE239" t="str">
        <x:f>IF(R239&gt;0,"Gain",IF(R239&lt;0,"Loss","Neutral"))</x:f>
        <x:v>Gain</x:v>
      </x:c>
    </x:row>
    <x:row r="240">
      <x:c r="A240" t="n">
        <x:v>239</x:v>
      </x:c>
      <x:c r="B240" s="12" t="n">
        <x:v>46111</x:v>
      </x:c>
      <x:c r="C240" t="str">
        <x:v>Mar 30</x:v>
      </x:c>
      <x:c r="D240" t="n">
        <x:v>16</x:v>
      </x:c>
      <x:c r="E240" t="n">
        <x:v>10</x:v>
      </x:c>
      <x:c r="F240" s="14" t="n">
        <x:v>6</x:v>
      </x:c>
      <x:c r="G240" t="str">
        <x:v>2mo ago</x:v>
      </x:c>
      <x:c r="H240" t="str">
        <x:v>Competitive</x:v>
      </x:c>
      <x:c r="I240" t="str">
        <x:v>Domination</x:v>
      </x:c>
      <x:c r="J240" t="str">
        <x:v>Celestial Husk</x:v>
      </x:c>
      <x:c r="K240" t="str">
        <x:v>Peni Parker</x:v>
      </x:c>
      <x:c r="L240" t="str">
        <x:v>Win</x:v>
      </x:c>
      <x:c r="M240" t="str"/>
      <x:c r="N240" t="n">
        <x:v>1</x:v>
      </x:c>
      <x:c r="O240" t="n">
        <x:v>2</x:v>
      </x:c>
      <x:c r="P240" t="str">
        <x:v>Diamond II</x:v>
      </x:c>
      <x:c r="Q240" t="n">
        <x:v>4365</x:v>
      </x:c>
      <x:c r="R240" s="14" t="n">
        <x:v>25</x:v>
      </x:c>
      <x:c r="S240" t="n">
        <x:v>18</x:v>
      </x:c>
      <x:c r="T240" t="n">
        <x:v>4</x:v>
      </x:c>
      <x:c r="U240" t="n">
        <x:v>18</x:v>
      </x:c>
      <x:c r="V240" s="16" t="n">
        <x:v>9</x:v>
      </x:c>
      <x:c r="W240" t="str">
        <x:v>Parsed from Tracker.gg MHTML/PDF export; competitive rows only.</x:v>
      </x:c>
      <x:c r="X240" t="n">
        <x:f>IF(L240="Win",1,0)</x:f>
        <x:v>1</x:v>
      </x:c>
      <x:c r="Y240" s="14" t="n">
        <x:f>IF(L240="Loss",1,0)</x:f>
        <x:v>0</x:v>
      </x:c>
      <x:c r="Z240" t="n">
        <x:f>IF(L240="Draw/Unknown",1,0)</x:f>
        <x:v>0</x:v>
      </x:c>
      <x:c r="AA240" s="16" t="n">
        <x:f>IF(OR(N240="",O240=""),"",N240-O240)</x:f>
        <x:v>-1</x:v>
      </x:c>
      <x:c r="AB240" s="16" t="n">
        <x:f>IF(T240=0,S240+U240,(S240+U240)/T240)</x:f>
        <x:v>9</x:v>
      </x:c>
      <x:c r="AC240" t="n">
        <x:f>S240+U240</x:f>
        <x:v>36</x:v>
      </x:c>
      <x:c r="AD240" t="n">
        <x:f>IF(T240=0,1,0)</x:f>
        <x:v>0</x:v>
      </x:c>
      <x:c r="AE240" t="str">
        <x:f>IF(R240&gt;0,"Gain",IF(R240&lt;0,"Loss","Neutral"))</x:f>
        <x:v>Gain</x:v>
      </x:c>
    </x:row>
    <x:row r="241">
      <x:c r="A241" t="n">
        <x:v>240</x:v>
      </x:c>
      <x:c r="B241" s="12" t="n">
        <x:v>46111</x:v>
      </x:c>
      <x:c r="C241" t="str">
        <x:v>Mar 30</x:v>
      </x:c>
      <x:c r="D241" t="n">
        <x:v>16</x:v>
      </x:c>
      <x:c r="E241" t="n">
        <x:v>10</x:v>
      </x:c>
      <x:c r="F241" s="14" t="n">
        <x:v>6</x:v>
      </x:c>
      <x:c r="G241" t="str">
        <x:v>2mo ago</x:v>
      </x:c>
      <x:c r="H241" t="str">
        <x:v>Competitive</x:v>
      </x:c>
      <x:c r="I241" t="str">
        <x:v>Convoy</x:v>
      </x:c>
      <x:c r="J241" t="str">
        <x:v>Midtown</x:v>
      </x:c>
      <x:c r="K241" t="str">
        <x:v>The Thing</x:v>
      </x:c>
      <x:c r="L241" t="str">
        <x:v>Win</x:v>
      </x:c>
      <x:c r="M241" t="str"/>
      <x:c r="N241" t="n">
        <x:v>3</x:v>
      </x:c>
      <x:c r="O241" t="n">
        <x:v>1</x:v>
      </x:c>
      <x:c r="P241" t="str">
        <x:v>Diamond II</x:v>
      </x:c>
      <x:c r="Q241" t="n">
        <x:v>4339</x:v>
      </x:c>
      <x:c r="R241" s="14" t="n">
        <x:v>22</x:v>
      </x:c>
      <x:c r="S241" t="n">
        <x:v>41</x:v>
      </x:c>
      <x:c r="T241" t="n">
        <x:v>11</x:v>
      </x:c>
      <x:c r="U241" t="n">
        <x:v>22</x:v>
      </x:c>
      <x:c r="V241" s="16" t="n">
        <x:v>5.73</x:v>
      </x:c>
      <x:c r="W241" t="str">
        <x:v>Parsed from Tracker.gg MHTML/PDF export; competitive rows only.</x:v>
      </x:c>
      <x:c r="X241" t="n">
        <x:f>IF(L241="Win",1,0)</x:f>
        <x:v>1</x:v>
      </x:c>
      <x:c r="Y241" s="14" t="n">
        <x:f>IF(L241="Loss",1,0)</x:f>
        <x:v>0</x:v>
      </x:c>
      <x:c r="Z241" t="n">
        <x:f>IF(L241="Draw/Unknown",1,0)</x:f>
        <x:v>0</x:v>
      </x:c>
      <x:c r="AA241" s="16" t="n">
        <x:f>IF(OR(N241="",O241=""),"",N241-O241)</x:f>
        <x:v>2</x:v>
      </x:c>
      <x:c r="AB241" s="16" t="n">
        <x:f>IF(T241=0,S241+U241,(S241+U241)/T241)</x:f>
        <x:v>5.7272727272727275</x:v>
      </x:c>
      <x:c r="AC241" t="n">
        <x:f>S241+U241</x:f>
        <x:v>63</x:v>
      </x:c>
      <x:c r="AD241" t="n">
        <x:f>IF(T241=0,1,0)</x:f>
        <x:v>0</x:v>
      </x:c>
      <x:c r="AE241" t="str">
        <x:f>IF(R241&gt;0,"Gain",IF(R241&lt;0,"Loss","Neutral"))</x:f>
        <x:v>Gain</x:v>
      </x:c>
    </x:row>
    <x:row r="242">
      <x:c r="A242" t="n">
        <x:v>241</x:v>
      </x:c>
      <x:c r="B242" s="12" t="n">
        <x:v>46111</x:v>
      </x:c>
      <x:c r="C242" t="str">
        <x:v>Mar 30</x:v>
      </x:c>
      <x:c r="D242" t="n">
        <x:v>16</x:v>
      </x:c>
      <x:c r="E242" t="n">
        <x:v>10</x:v>
      </x:c>
      <x:c r="F242" s="14" t="n">
        <x:v>6</x:v>
      </x:c>
      <x:c r="G242" t="str">
        <x:v>2mo ago</x:v>
      </x:c>
      <x:c r="H242" t="str">
        <x:v>Competitive</x:v>
      </x:c>
      <x:c r="I242" t="str">
        <x:v>Convoy</x:v>
      </x:c>
      <x:c r="J242" t="str">
        <x:v>Arakko</x:v>
      </x:c>
      <x:c r="K242" t="str">
        <x:v>The Thing</x:v>
      </x:c>
      <x:c r="L242" t="str">
        <x:v>Loss</x:v>
      </x:c>
      <x:c r="M242" t="str"/>
      <x:c r="N242" t="n">
        <x:v>1</x:v>
      </x:c>
      <x:c r="O242" t="n">
        <x:v>2</x:v>
      </x:c>
      <x:c r="P242" t="str">
        <x:v>Diamond II</x:v>
      </x:c>
      <x:c r="Q242" t="n">
        <x:v>4317</x:v>
      </x:c>
      <x:c r="R242" s="14" t="n">
        <x:v>-25</x:v>
      </x:c>
      <x:c r="S242" t="n">
        <x:v>10</x:v>
      </x:c>
      <x:c r="T242" t="n">
        <x:v>12</x:v>
      </x:c>
      <x:c r="U242" t="n">
        <x:v>4</x:v>
      </x:c>
      <x:c r="V242" s="16" t="n">
        <x:v>1.17</x:v>
      </x:c>
      <x:c r="W242" t="str">
        <x:v>Parsed from Tracker.gg MHTML/PDF export; competitive rows only.</x:v>
      </x:c>
      <x:c r="X242" t="n">
        <x:f>IF(L242="Win",1,0)</x:f>
        <x:v>0</x:v>
      </x:c>
      <x:c r="Y242" s="14" t="n">
        <x:f>IF(L242="Loss",1,0)</x:f>
        <x:v>1</x:v>
      </x:c>
      <x:c r="Z242" t="n">
        <x:f>IF(L242="Draw/Unknown",1,0)</x:f>
        <x:v>0</x:v>
      </x:c>
      <x:c r="AA242" s="16" t="n">
        <x:f>IF(OR(N242="",O242=""),"",N242-O242)</x:f>
        <x:v>-1</x:v>
      </x:c>
      <x:c r="AB242" s="16" t="n">
        <x:f>IF(T242=0,S242+U242,(S242+U242)/T242)</x:f>
        <x:v>1.1666666666666667</x:v>
      </x:c>
      <x:c r="AC242" t="n">
        <x:f>S242+U242</x:f>
        <x:v>14</x:v>
      </x:c>
      <x:c r="AD242" t="n">
        <x:f>IF(T242=0,1,0)</x:f>
        <x:v>0</x:v>
      </x:c>
      <x:c r="AE242" t="str">
        <x:f>IF(R242&gt;0,"Gain",IF(R242&lt;0,"Loss","Neutral"))</x:f>
        <x:v>Loss</x:v>
      </x:c>
    </x:row>
    <x:row r="243">
      <x:c r="A243" t="n">
        <x:v>242</x:v>
      </x:c>
      <x:c r="B243" s="12" t="n">
        <x:v>46111</x:v>
      </x:c>
      <x:c r="C243" t="str">
        <x:v>Mar 30</x:v>
      </x:c>
      <x:c r="D243" t="n">
        <x:v>16</x:v>
      </x:c>
      <x:c r="E243" t="n">
        <x:v>10</x:v>
      </x:c>
      <x:c r="F243" s="14" t="n">
        <x:v>6</x:v>
      </x:c>
      <x:c r="G243" t="str">
        <x:v>2mo ago</x:v>
      </x:c>
      <x:c r="H243" t="str">
        <x:v>Competitive</x:v>
      </x:c>
      <x:c r="I243" t="str">
        <x:v>Domination</x:v>
      </x:c>
      <x:c r="J243" t="str">
        <x:v>Birnin T'Challa</x:v>
      </x:c>
      <x:c r="K243" t="str">
        <x:v>Captain America</x:v>
      </x:c>
      <x:c r="L243" t="str">
        <x:v>Win</x:v>
      </x:c>
      <x:c r="M243" t="str">
        <x:v>MVP</x:v>
      </x:c>
      <x:c r="N243" t="n">
        <x:v>0</x:v>
      </x:c>
      <x:c r="O243" t="n">
        <x:v>2</x:v>
      </x:c>
      <x:c r="P243" t="str">
        <x:v>Diamond II</x:v>
      </x:c>
      <x:c r="Q243" t="n">
        <x:v>4341</x:v>
      </x:c>
      <x:c r="R243" s="14" t="n">
        <x:v>25</x:v>
      </x:c>
      <x:c r="S243" t="n">
        <x:v>24</x:v>
      </x:c>
      <x:c r="T243" t="n">
        <x:v>3</x:v>
      </x:c>
      <x:c r="U243" t="n">
        <x:v>10</x:v>
      </x:c>
      <x:c r="V243" s="16" t="n">
        <x:v>11.33</x:v>
      </x:c>
      <x:c r="W243" t="str">
        <x:v>Parsed from Tracker.gg MHTML/PDF export; competitive rows only.</x:v>
      </x:c>
      <x:c r="X243" t="n">
        <x:f>IF(L243="Win",1,0)</x:f>
        <x:v>1</x:v>
      </x:c>
      <x:c r="Y243" s="14" t="n">
        <x:f>IF(L243="Loss",1,0)</x:f>
        <x:v>0</x:v>
      </x:c>
      <x:c r="Z243" t="n">
        <x:f>IF(L243="Draw/Unknown",1,0)</x:f>
        <x:v>0</x:v>
      </x:c>
      <x:c r="AA243" s="16" t="str">
        <x:f>IF(OR(N243="",O243=""),"",N243-O243)</x:f>
      </x:c>
      <x:c r="AB243" s="16" t="n">
        <x:f>IF(T243=0,S243+U243,(S243+U243)/T243)</x:f>
        <x:v>11.333333333333334</x:v>
      </x:c>
      <x:c r="AC243" t="n">
        <x:f>S243+U243</x:f>
        <x:v>34</x:v>
      </x:c>
      <x:c r="AD243" t="n">
        <x:f>IF(T243=0,1,0)</x:f>
        <x:v>0</x:v>
      </x:c>
      <x:c r="AE243" t="str">
        <x:f>IF(R243&gt;0,"Gain",IF(R243&lt;0,"Loss","Neutral"))</x:f>
        <x:v>Gain</x:v>
      </x:c>
    </x:row>
    <x:row r="244">
      <x:c r="A244" t="n">
        <x:v>243</x:v>
      </x:c>
      <x:c r="B244" s="12" t="n">
        <x:v>46111</x:v>
      </x:c>
      <x:c r="C244" t="str">
        <x:v>Mar 30</x:v>
      </x:c>
      <x:c r="D244" t="n">
        <x:v>16</x:v>
      </x:c>
      <x:c r="E244" t="n">
        <x:v>10</x:v>
      </x:c>
      <x:c r="F244" s="14" t="n">
        <x:v>6</x:v>
      </x:c>
      <x:c r="G244" t="str">
        <x:v>2mo ago</x:v>
      </x:c>
      <x:c r="H244" t="str">
        <x:v>Competitive</x:v>
      </x:c>
      <x:c r="I244" t="str">
        <x:v>Convoy</x:v>
      </x:c>
      <x:c r="J244" t="str">
        <x:v>Museum of Contemplation</x:v>
      </x:c>
      <x:c r="K244" t="str">
        <x:v>The Thing</x:v>
      </x:c>
      <x:c r="L244" t="str">
        <x:v>Loss</x:v>
      </x:c>
      <x:c r="M244" t="str"/>
      <x:c r="N244" t="n">
        <x:v>0</x:v>
      </x:c>
      <x:c r="O244" t="n">
        <x:v>1</x:v>
      </x:c>
      <x:c r="P244" t="str">
        <x:v>Diamond II</x:v>
      </x:c>
      <x:c r="Q244" t="n">
        <x:v>4315</x:v>
      </x:c>
      <x:c r="R244" s="14" t="n">
        <x:v>-20</x:v>
      </x:c>
      <x:c r="S244" t="n">
        <x:v>11</x:v>
      </x:c>
      <x:c r="T244" t="n">
        <x:v>8</x:v>
      </x:c>
      <x:c r="U244" t="n">
        <x:v>6</x:v>
      </x:c>
      <x:c r="V244" s="16" t="n">
        <x:v>2.12</x:v>
      </x:c>
      <x:c r="W244" t="str">
        <x:v>Parsed from Tracker.gg MHTML/PDF export; competitive rows only.</x:v>
      </x:c>
      <x:c r="X244" t="n">
        <x:f>IF(L244="Win",1,0)</x:f>
        <x:v>0</x:v>
      </x:c>
      <x:c r="Y244" s="14" t="n">
        <x:f>IF(L244="Loss",1,0)</x:f>
        <x:v>1</x:v>
      </x:c>
      <x:c r="Z244" t="n">
        <x:f>IF(L244="Draw/Unknown",1,0)</x:f>
        <x:v>0</x:v>
      </x:c>
      <x:c r="AA244" s="16" t="str">
        <x:f>IF(OR(N244="",O244=""),"",N244-O244)</x:f>
      </x:c>
      <x:c r="AB244" s="16" t="n">
        <x:f>IF(T244=0,S244+U244,(S244+U244)/T244)</x:f>
        <x:v>2.125</x:v>
      </x:c>
      <x:c r="AC244" t="n">
        <x:f>S244+U244</x:f>
        <x:v>17</x:v>
      </x:c>
      <x:c r="AD244" t="n">
        <x:f>IF(T244=0,1,0)</x:f>
        <x:v>0</x:v>
      </x:c>
      <x:c r="AE244" t="str">
        <x:f>IF(R244&gt;0,"Gain",IF(R244&lt;0,"Loss","Neutral"))</x:f>
        <x:v>Loss</x:v>
      </x:c>
    </x:row>
    <x:row r="245">
      <x:c r="A245" t="n">
        <x:v>244</x:v>
      </x:c>
      <x:c r="B245" s="12" t="n">
        <x:v>46111</x:v>
      </x:c>
      <x:c r="C245" t="str">
        <x:v>Mar 30</x:v>
      </x:c>
      <x:c r="D245" t="n">
        <x:v>16</x:v>
      </x:c>
      <x:c r="E245" t="n">
        <x:v>10</x:v>
      </x:c>
      <x:c r="F245" s="14" t="n">
        <x:v>6</x:v>
      </x:c>
      <x:c r="G245" t="str">
        <x:v>2mo ago</x:v>
      </x:c>
      <x:c r="H245" t="str">
        <x:v>Competitive</x:v>
      </x:c>
      <x:c r="I245" t="str">
        <x:v>Convergence</x:v>
      </x:c>
      <x:c r="J245" t="str">
        <x:v>Hall Of Djalia</x:v>
      </x:c>
      <x:c r="K245" t="str">
        <x:v>The Thing</x:v>
      </x:c>
      <x:c r="L245" t="str">
        <x:v>Win</x:v>
      </x:c>
      <x:c r="M245" t="str"/>
      <x:c r="N245" t="n">
        <x:v>2</x:v>
      </x:c>
      <x:c r="O245" t="n">
        <x:v>3</x:v>
      </x:c>
      <x:c r="P245" t="str">
        <x:v>Diamond II</x:v>
      </x:c>
      <x:c r="Q245" t="n">
        <x:v>4335</x:v>
      </x:c>
      <x:c r="R245" s="14" t="n">
        <x:v>23</x:v>
      </x:c>
      <x:c r="S245" t="n">
        <x:v>23</x:v>
      </x:c>
      <x:c r="T245" t="n">
        <x:v>9</x:v>
      </x:c>
      <x:c r="U245" t="n">
        <x:v>19</x:v>
      </x:c>
      <x:c r="V245" s="16" t="n">
        <x:v>4.67</x:v>
      </x:c>
      <x:c r="W245" t="str">
        <x:v>Parsed from Tracker.gg MHTML/PDF export; competitive rows only.</x:v>
      </x:c>
      <x:c r="X245" t="n">
        <x:f>IF(L245="Win",1,0)</x:f>
        <x:v>1</x:v>
      </x:c>
      <x:c r="Y245" s="14" t="n">
        <x:f>IF(L245="Loss",1,0)</x:f>
        <x:v>0</x:v>
      </x:c>
      <x:c r="Z245" t="n">
        <x:f>IF(L245="Draw/Unknown",1,0)</x:f>
        <x:v>0</x:v>
      </x:c>
      <x:c r="AA245" s="16" t="n">
        <x:f>IF(OR(N245="",O245=""),"",N245-O245)</x:f>
        <x:v>-1</x:v>
      </x:c>
      <x:c r="AB245" s="16" t="n">
        <x:f>IF(T245=0,S245+U245,(S245+U245)/T245)</x:f>
        <x:v>4.666666666666667</x:v>
      </x:c>
      <x:c r="AC245" t="n">
        <x:f>S245+U245</x:f>
        <x:v>42</x:v>
      </x:c>
      <x:c r="AD245" t="n">
        <x:f>IF(T245=0,1,0)</x:f>
        <x:v>0</x:v>
      </x:c>
      <x:c r="AE245" t="str">
        <x:f>IF(R245&gt;0,"Gain",IF(R245&lt;0,"Loss","Neutral"))</x:f>
        <x:v>Gain</x:v>
      </x:c>
    </x:row>
    <x:row r="246">
      <x:c r="A246" t="n">
        <x:v>245</x:v>
      </x:c>
      <x:c r="B246" s="12" t="n">
        <x:v>46111</x:v>
      </x:c>
      <x:c r="C246" t="str">
        <x:v>Mar 30</x:v>
      </x:c>
      <x:c r="D246" t="n">
        <x:v>16</x:v>
      </x:c>
      <x:c r="E246" t="n">
        <x:v>10</x:v>
      </x:c>
      <x:c r="F246" s="14" t="n">
        <x:v>6</x:v>
      </x:c>
      <x:c r="G246" t="str">
        <x:v>2mo ago</x:v>
      </x:c>
      <x:c r="H246" t="str">
        <x:v>Competitive</x:v>
      </x:c>
      <x:c r="I246" t="str">
        <x:v>Convoy</x:v>
      </x:c>
      <x:c r="J246" t="str">
        <x:v>Yggdrasill Path</x:v>
      </x:c>
      <x:c r="K246" t="str">
        <x:v>The Thing</x:v>
      </x:c>
      <x:c r="L246" t="str">
        <x:v>Win</x:v>
      </x:c>
      <x:c r="M246" t="str">
        <x:v>MVP</x:v>
      </x:c>
      <x:c r="N246" t="n">
        <x:v>1</x:v>
      </x:c>
      <x:c r="O246" t="n">
        <x:v>2</x:v>
      </x:c>
      <x:c r="P246" t="str">
        <x:v>Diamond II</x:v>
      </x:c>
      <x:c r="Q246" t="n">
        <x:v>4312</x:v>
      </x:c>
      <x:c r="R246" s="14" t="n">
        <x:v>24</x:v>
      </x:c>
      <x:c r="S246" t="n">
        <x:v>32</x:v>
      </x:c>
      <x:c r="T246" t="n">
        <x:v>6</x:v>
      </x:c>
      <x:c r="U246" t="n">
        <x:v>19</x:v>
      </x:c>
      <x:c r="V246" s="16" t="n">
        <x:v>8.5</x:v>
      </x:c>
      <x:c r="W246" t="str">
        <x:v>Parsed from Tracker.gg MHTML/PDF export; competitive rows only.</x:v>
      </x:c>
      <x:c r="X246" t="n">
        <x:f>IF(L246="Win",1,0)</x:f>
        <x:v>1</x:v>
      </x:c>
      <x:c r="Y246" s="14" t="n">
        <x:f>IF(L246="Loss",1,0)</x:f>
        <x:v>0</x:v>
      </x:c>
      <x:c r="Z246" t="n">
        <x:f>IF(L246="Draw/Unknown",1,0)</x:f>
        <x:v>0</x:v>
      </x:c>
      <x:c r="AA246" s="16" t="n">
        <x:f>IF(OR(N246="",O246=""),"",N246-O246)</x:f>
        <x:v>-1</x:v>
      </x:c>
      <x:c r="AB246" s="16" t="n">
        <x:f>IF(T246=0,S246+U246,(S246+U246)/T246)</x:f>
        <x:v>8.5</x:v>
      </x:c>
      <x:c r="AC246" t="n">
        <x:f>S246+U246</x:f>
        <x:v>51</x:v>
      </x:c>
      <x:c r="AD246" t="n">
        <x:f>IF(T246=0,1,0)</x:f>
        <x:v>0</x:v>
      </x:c>
      <x:c r="AE246" t="str">
        <x:f>IF(R246&gt;0,"Gain",IF(R246&lt;0,"Loss","Neutral"))</x:f>
        <x:v>Gain</x:v>
      </x:c>
    </x:row>
    <x:row r="247">
      <x:c r="A247" t="n">
        <x:v>246</x:v>
      </x:c>
      <x:c r="B247" s="12" t="n">
        <x:v>46111</x:v>
      </x:c>
      <x:c r="C247" t="str">
        <x:v>Mar 30</x:v>
      </x:c>
      <x:c r="D247" t="n">
        <x:v>16</x:v>
      </x:c>
      <x:c r="E247" t="n">
        <x:v>10</x:v>
      </x:c>
      <x:c r="F247" s="14" t="n">
        <x:v>6</x:v>
      </x:c>
      <x:c r="G247" t="str">
        <x:v>2mo ago</x:v>
      </x:c>
      <x:c r="H247" t="str">
        <x:v>Competitive</x:v>
      </x:c>
      <x:c r="I247" t="str">
        <x:v>Convoy</x:v>
      </x:c>
      <x:c r="J247" t="str">
        <x:v>Midtown</x:v>
      </x:c>
      <x:c r="K247" t="str">
        <x:v>The Thing</x:v>
      </x:c>
      <x:c r="L247" t="str">
        <x:v>Win</x:v>
      </x:c>
      <x:c r="M247" t="str"/>
      <x:c r="N247" t="n">
        <x:v>1</x:v>
      </x:c>
      <x:c r="O247" t="n">
        <x:v>2</x:v>
      </x:c>
      <x:c r="P247" t="str">
        <x:v>Diamond III</x:v>
      </x:c>
      <x:c r="Q247" t="n">
        <x:v>4287</x:v>
      </x:c>
      <x:c r="R247" s="14" t="n">
        <x:v>24</x:v>
      </x:c>
      <x:c r="S247" t="n">
        <x:v>22</x:v>
      </x:c>
      <x:c r="T247" t="n">
        <x:v>6</x:v>
      </x:c>
      <x:c r="U247" t="n">
        <x:v>10</x:v>
      </x:c>
      <x:c r="V247" s="16" t="n">
        <x:v>5.33</x:v>
      </x:c>
      <x:c r="W247" t="str">
        <x:v>Parsed from Tracker.gg MHTML/PDF export; competitive rows only.</x:v>
      </x:c>
      <x:c r="X247" t="n">
        <x:f>IF(L247="Win",1,0)</x:f>
        <x:v>1</x:v>
      </x:c>
      <x:c r="Y247" s="14" t="n">
        <x:f>IF(L247="Loss",1,0)</x:f>
        <x:v>0</x:v>
      </x:c>
      <x:c r="Z247" t="n">
        <x:f>IF(L247="Draw/Unknown",1,0)</x:f>
        <x:v>0</x:v>
      </x:c>
      <x:c r="AA247" s="16" t="n">
        <x:f>IF(OR(N247="",O247=""),"",N247-O247)</x:f>
        <x:v>-1</x:v>
      </x:c>
      <x:c r="AB247" s="16" t="n">
        <x:f>IF(T247=0,S247+U247,(S247+U247)/T247)</x:f>
        <x:v>5.333333333333333</x:v>
      </x:c>
      <x:c r="AC247" t="n">
        <x:f>S247+U247</x:f>
        <x:v>32</x:v>
      </x:c>
      <x:c r="AD247" t="n">
        <x:f>IF(T247=0,1,0)</x:f>
        <x:v>0</x:v>
      </x:c>
      <x:c r="AE247" t="str">
        <x:f>IF(R247&gt;0,"Gain",IF(R247&lt;0,"Loss","Neutral"))</x:f>
        <x:v>Gain</x:v>
      </x:c>
    </x:row>
    <x:row r="248">
      <x:c r="A248" t="n">
        <x:v>247</x:v>
      </x:c>
      <x:c r="B248" s="12" t="n">
        <x:v>46111</x:v>
      </x:c>
      <x:c r="C248" t="str">
        <x:v>Mar 30</x:v>
      </x:c>
      <x:c r="D248" t="n">
        <x:v>16</x:v>
      </x:c>
      <x:c r="E248" t="n">
        <x:v>10</x:v>
      </x:c>
      <x:c r="F248" s="14" t="n">
        <x:v>6</x:v>
      </x:c>
      <x:c r="G248" t="str">
        <x:v>2mo ago</x:v>
      </x:c>
      <x:c r="H248" t="str">
        <x:v>Competitive</x:v>
      </x:c>
      <x:c r="I248" t="str">
        <x:v>Convergence</x:v>
      </x:c>
      <x:c r="J248" t="str">
        <x:v>Heart Of Heaven</x:v>
      </x:c>
      <x:c r="K248" t="str">
        <x:v>Peni Parker</x:v>
      </x:c>
      <x:c r="L248" t="str">
        <x:v>Loss</x:v>
      </x:c>
      <x:c r="M248" t="str"/>
      <x:c r="N248" t="n">
        <x:v>1</x:v>
      </x:c>
      <x:c r="O248" t="n">
        <x:v>2</x:v>
      </x:c>
      <x:c r="P248" t="str">
        <x:v>Diamond III</x:v>
      </x:c>
      <x:c r="Q248" t="n">
        <x:v>4263</x:v>
      </x:c>
      <x:c r="R248" s="14" t="n">
        <x:v>-20</x:v>
      </x:c>
      <x:c r="S248" t="n">
        <x:v>10</x:v>
      </x:c>
      <x:c r="T248" t="n">
        <x:v>9</x:v>
      </x:c>
      <x:c r="U248" t="n">
        <x:v>4</x:v>
      </x:c>
      <x:c r="V248" s="16" t="n">
        <x:v>1.56</x:v>
      </x:c>
      <x:c r="W248" t="str">
        <x:v>Parsed from Tracker.gg MHTML/PDF export; competitive rows only.</x:v>
      </x:c>
      <x:c r="X248" t="n">
        <x:f>IF(L248="Win",1,0)</x:f>
        <x:v>0</x:v>
      </x:c>
      <x:c r="Y248" s="14" t="n">
        <x:f>IF(L248="Loss",1,0)</x:f>
        <x:v>1</x:v>
      </x:c>
      <x:c r="Z248" t="n">
        <x:f>IF(L248="Draw/Unknown",1,0)</x:f>
        <x:v>0</x:v>
      </x:c>
      <x:c r="AA248" s="16" t="n">
        <x:f>IF(OR(N248="",O248=""),"",N248-O248)</x:f>
        <x:v>-1</x:v>
      </x:c>
      <x:c r="AB248" s="16" t="n">
        <x:f>IF(T248=0,S248+U248,(S248+U248)/T248)</x:f>
        <x:v>1.5555555555555556</x:v>
      </x:c>
      <x:c r="AC248" t="n">
        <x:f>S248+U248</x:f>
        <x:v>14</x:v>
      </x:c>
      <x:c r="AD248" t="n">
        <x:f>IF(T248=0,1,0)</x:f>
        <x:v>0</x:v>
      </x:c>
      <x:c r="AE248" t="str">
        <x:f>IF(R248&gt;0,"Gain",IF(R248&lt;0,"Loss","Neutral"))</x:f>
        <x:v>Loss</x:v>
      </x:c>
    </x:row>
    <x:row r="249">
      <x:c r="A249" t="n">
        <x:v>248</x:v>
      </x:c>
      <x:c r="B249" s="12" t="n">
        <x:v>46111</x:v>
      </x:c>
      <x:c r="C249" t="str">
        <x:v>Mar 30</x:v>
      </x:c>
      <x:c r="D249" t="n">
        <x:v>16</x:v>
      </x:c>
      <x:c r="E249" t="n">
        <x:v>10</x:v>
      </x:c>
      <x:c r="F249" s="14" t="n">
        <x:v>6</x:v>
      </x:c>
      <x:c r="G249" t="str">
        <x:v>2mo ago</x:v>
      </x:c>
      <x:c r="H249" t="str">
        <x:v>Competitive</x:v>
      </x:c>
      <x:c r="I249" t="str">
        <x:v>Domination</x:v>
      </x:c>
      <x:c r="J249" t="str">
        <x:v>Celestial Husk</x:v>
      </x:c>
      <x:c r="K249" t="str">
        <x:v>Rogue</x:v>
      </x:c>
      <x:c r="L249" t="str">
        <x:v>Win</x:v>
      </x:c>
      <x:c r="M249" t="str"/>
      <x:c r="N249" t="n">
        <x:v>0</x:v>
      </x:c>
      <x:c r="O249" t="n">
        <x:v>1</x:v>
      </x:c>
      <x:c r="P249" t="str">
        <x:v>Diamond III</x:v>
      </x:c>
      <x:c r="Q249" t="n">
        <x:v>4282</x:v>
      </x:c>
      <x:c r="R249" s="14" t="n">
        <x:v>23</x:v>
      </x:c>
      <x:c r="S249" t="n">
        <x:v>10</x:v>
      </x:c>
      <x:c r="T249" t="n">
        <x:v>0</x:v>
      </x:c>
      <x:c r="U249" t="n">
        <x:v>2</x:v>
      </x:c>
      <x:c r="V249" s="16" t="n">
        <x:v>12</x:v>
      </x:c>
      <x:c r="W249" t="str">
        <x:v>Parsed from Tracker.gg MHTML/PDF export; competitive rows only.</x:v>
      </x:c>
      <x:c r="X249" t="n">
        <x:f>IF(L249="Win",1,0)</x:f>
        <x:v>1</x:v>
      </x:c>
      <x:c r="Y249" s="14" t="n">
        <x:f>IF(L249="Loss",1,0)</x:f>
        <x:v>0</x:v>
      </x:c>
      <x:c r="Z249" t="n">
        <x:f>IF(L249="Draw/Unknown",1,0)</x:f>
        <x:v>0</x:v>
      </x:c>
      <x:c r="AA249" s="16" t="str">
        <x:f>IF(OR(N249="",O249=""),"",N249-O249)</x:f>
      </x:c>
      <x:c r="AB249" s="16" t="n">
        <x:f>IF(T249=0,S249+U249,(S249+U249)/T249)</x:f>
        <x:v>12</x:v>
      </x:c>
      <x:c r="AC249" t="n">
        <x:f>S249+U249</x:f>
        <x:v>12</x:v>
      </x:c>
      <x:c r="AD249" t="n">
        <x:f>IF(T249=0,1,0)</x:f>
        <x:v>1</x:v>
      </x:c>
      <x:c r="AE249" t="str">
        <x:f>IF(R249&gt;0,"Gain",IF(R249&lt;0,"Loss","Neutral"))</x:f>
        <x:v>Gain</x:v>
      </x:c>
    </x:row>
    <x:row r="250">
      <x:c r="A250" t="n">
        <x:v>249</x:v>
      </x:c>
      <x:c r="B250" s="12" t="n">
        <x:v>46111</x:v>
      </x:c>
      <x:c r="C250" t="str">
        <x:v>Mar 30</x:v>
      </x:c>
      <x:c r="D250" t="n">
        <x:v>16</x:v>
      </x:c>
      <x:c r="E250" t="n">
        <x:v>10</x:v>
      </x:c>
      <x:c r="F250" s="14" t="n">
        <x:v>6</x:v>
      </x:c>
      <x:c r="G250" t="str">
        <x:v>2mo ago</x:v>
      </x:c>
      <x:c r="H250" t="str">
        <x:v>Competitive</x:v>
      </x:c>
      <x:c r="I250" t="str">
        <x:v>Convergence</x:v>
      </x:c>
      <x:c r="J250" t="str">
        <x:v>Central Park</x:v>
      </x:c>
      <x:c r="K250" t="str">
        <x:v>Cloak &amp; Dagger</x:v>
      </x:c>
      <x:c r="L250" t="str">
        <x:v>Loss</x:v>
      </x:c>
      <x:c r="M250" t="str"/>
      <x:c r="N250" t="n">
        <x:v>1</x:v>
      </x:c>
      <x:c r="O250" t="n">
        <x:v>2</x:v>
      </x:c>
      <x:c r="P250" t="str">
        <x:v>Diamond III</x:v>
      </x:c>
      <x:c r="Q250" t="n">
        <x:v>4259</x:v>
      </x:c>
      <x:c r="R250" s="14" t="n">
        <x:v>-20</x:v>
      </x:c>
      <x:c r="S250" t="n">
        <x:v>9</x:v>
      </x:c>
      <x:c r="T250" t="n">
        <x:v>6</x:v>
      </x:c>
      <x:c r="U250" t="n">
        <x:v>17</x:v>
      </x:c>
      <x:c r="V250" s="16" t="n">
        <x:v>4.33</x:v>
      </x:c>
      <x:c r="W250" t="str">
        <x:v>Parsed from Tracker.gg MHTML/PDF export; competitive rows only.</x:v>
      </x:c>
      <x:c r="X250" t="n">
        <x:f>IF(L250="Win",1,0)</x:f>
        <x:v>0</x:v>
      </x:c>
      <x:c r="Y250" s="14" t="n">
        <x:f>IF(L250="Loss",1,0)</x:f>
        <x:v>1</x:v>
      </x:c>
      <x:c r="Z250" t="n">
        <x:f>IF(L250="Draw/Unknown",1,0)</x:f>
        <x:v>0</x:v>
      </x:c>
      <x:c r="AA250" s="16" t="n">
        <x:f>IF(OR(N250="",O250=""),"",N250-O250)</x:f>
        <x:v>-1</x:v>
      </x:c>
      <x:c r="AB250" s="16" t="n">
        <x:f>IF(T250=0,S250+U250,(S250+U250)/T250)</x:f>
        <x:v>4.333333333333333</x:v>
      </x:c>
      <x:c r="AC250" t="n">
        <x:f>S250+U250</x:f>
        <x:v>26</x:v>
      </x:c>
      <x:c r="AD250" t="n">
        <x:f>IF(T250=0,1,0)</x:f>
        <x:v>0</x:v>
      </x:c>
      <x:c r="AE250" t="str">
        <x:f>IF(R250&gt;0,"Gain",IF(R250&lt;0,"Loss","Neutral"))</x:f>
        <x:v>Loss</x:v>
      </x:c>
    </x:row>
    <x:row r="251">
      <x:c r="A251" t="n">
        <x:v>250</x:v>
      </x:c>
      <x:c r="B251" s="12" t="n">
        <x:v>46111</x:v>
      </x:c>
      <x:c r="C251" t="str">
        <x:v>Mar 30</x:v>
      </x:c>
      <x:c r="D251" t="n">
        <x:v>16</x:v>
      </x:c>
      <x:c r="E251" t="n">
        <x:v>10</x:v>
      </x:c>
      <x:c r="F251" s="14" t="n">
        <x:v>6</x:v>
      </x:c>
      <x:c r="G251" t="str">
        <x:v>2mo ago</x:v>
      </x:c>
      <x:c r="H251" t="str">
        <x:v>Competitive</x:v>
      </x:c>
      <x:c r="I251" t="str">
        <x:v>Convoy</x:v>
      </x:c>
      <x:c r="J251" t="str">
        <x:v>Yggdrasill Path</x:v>
      </x:c>
      <x:c r="K251" t="str">
        <x:v>Peni Parker</x:v>
      </x:c>
      <x:c r="L251" t="str">
        <x:v>Loss</x:v>
      </x:c>
      <x:c r="M251" t="str"/>
      <x:c r="N251" t="n">
        <x:v>1</x:v>
      </x:c>
      <x:c r="O251" t="n">
        <x:v>0</x:v>
      </x:c>
      <x:c r="P251" t="str">
        <x:v>Diamond II</x:v>
      </x:c>
      <x:c r="Q251" t="n">
        <x:v>4279</x:v>
      </x:c>
      <x:c r="R251" s="14" t="n">
        <x:v>-23</x:v>
      </x:c>
      <x:c r="S251" t="n">
        <x:v>8</x:v>
      </x:c>
      <x:c r="T251" t="n">
        <x:v>8</x:v>
      </x:c>
      <x:c r="U251" t="n">
        <x:v>6</x:v>
      </x:c>
      <x:c r="V251" s="16" t="n">
        <x:v>1.75</x:v>
      </x:c>
      <x:c r="W251" t="str">
        <x:v>Parsed from Tracker.gg MHTML/PDF export; competitive rows only.</x:v>
      </x:c>
      <x:c r="X251" t="n">
        <x:f>IF(L251="Win",1,0)</x:f>
        <x:v>0</x:v>
      </x:c>
      <x:c r="Y251" s="14" t="n">
        <x:f>IF(L251="Loss",1,0)</x:f>
        <x:v>1</x:v>
      </x:c>
      <x:c r="Z251" t="n">
        <x:f>IF(L251="Draw/Unknown",1,0)</x:f>
        <x:v>0</x:v>
      </x:c>
      <x:c r="AA251" s="16" t="str">
        <x:f>IF(OR(N251="",O251=""),"",N251-O251)</x:f>
      </x:c>
      <x:c r="AB251" s="16" t="n">
        <x:f>IF(T251=0,S251+U251,(S251+U251)/T251)</x:f>
        <x:v>1.75</x:v>
      </x:c>
      <x:c r="AC251" t="n">
        <x:f>S251+U251</x:f>
        <x:v>14</x:v>
      </x:c>
      <x:c r="AD251" t="n">
        <x:f>IF(T251=0,1,0)</x:f>
        <x:v>0</x:v>
      </x:c>
      <x:c r="AE251" t="str">
        <x:f>IF(R251&gt;0,"Gain",IF(R251&lt;0,"Loss","Neutral"))</x:f>
        <x:v>Loss</x:v>
      </x:c>
    </x:row>
    <x:row r="252">
      <x:c r="A252" t="n">
        <x:v>251</x:v>
      </x:c>
      <x:c r="B252" s="12" t="n">
        <x:v>46111</x:v>
      </x:c>
      <x:c r="C252" t="str">
        <x:v>Mar 30</x:v>
      </x:c>
      <x:c r="D252" t="n">
        <x:v>16</x:v>
      </x:c>
      <x:c r="E252" t="n">
        <x:v>10</x:v>
      </x:c>
      <x:c r="F252" s="14" t="n">
        <x:v>6</x:v>
      </x:c>
      <x:c r="G252" t="str">
        <x:v>2mo ago</x:v>
      </x:c>
      <x:c r="H252" t="str">
        <x:v>Competitive</x:v>
      </x:c>
      <x:c r="I252" t="str">
        <x:v>Convoy</x:v>
      </x:c>
      <x:c r="J252" t="str">
        <x:v>Spider-Islands</x:v>
      </x:c>
      <x:c r="K252" t="str">
        <x:v>Squirrel Girl</x:v>
      </x:c>
      <x:c r="L252" t="str">
        <x:v>Win</x:v>
      </x:c>
      <x:c r="M252" t="str"/>
      <x:c r="N252" t="n">
        <x:v>2</x:v>
      </x:c>
      <x:c r="O252" t="n">
        <x:v>0</x:v>
      </x:c>
      <x:c r="P252" t="str">
        <x:v>Diamond II</x:v>
      </x:c>
      <x:c r="Q252" t="n">
        <x:v>4302</x:v>
      </x:c>
      <x:c r="R252" s="14" t="n">
        <x:v>25</x:v>
      </x:c>
      <x:c r="S252" t="n">
        <x:v>28</x:v>
      </x:c>
      <x:c r="T252" t="n">
        <x:v>2</x:v>
      </x:c>
      <x:c r="U252" t="n">
        <x:v>12</x:v>
      </x:c>
      <x:c r="V252" s="16" t="n">
        <x:v>20</x:v>
      </x:c>
      <x:c r="W252" t="str">
        <x:v>Parsed from Tracker.gg MHTML/PDF export; competitive rows only.</x:v>
      </x:c>
      <x:c r="X252" t="n">
        <x:f>IF(L252="Win",1,0)</x:f>
        <x:v>1</x:v>
      </x:c>
      <x:c r="Y252" s="14" t="n">
        <x:f>IF(L252="Loss",1,0)</x:f>
        <x:v>0</x:v>
      </x:c>
      <x:c r="Z252" t="n">
        <x:f>IF(L252="Draw/Unknown",1,0)</x:f>
        <x:v>0</x:v>
      </x:c>
      <x:c r="AA252" s="16" t="str">
        <x:f>IF(OR(N252="",O252=""),"",N252-O252)</x:f>
      </x:c>
      <x:c r="AB252" s="16" t="n">
        <x:f>IF(T252=0,S252+U252,(S252+U252)/T252)</x:f>
        <x:v>20</x:v>
      </x:c>
      <x:c r="AC252" t="n">
        <x:f>S252+U252</x:f>
        <x:v>40</x:v>
      </x:c>
      <x:c r="AD252" t="n">
        <x:f>IF(T252=0,1,0)</x:f>
        <x:v>0</x:v>
      </x:c>
      <x:c r="AE252" t="str">
        <x:f>IF(R252&gt;0,"Gain",IF(R252&lt;0,"Loss","Neutral"))</x:f>
        <x:v>Gain</x:v>
      </x:c>
    </x:row>
    <x:row r="253">
      <x:c r="A253" t="n">
        <x:v>252</x:v>
      </x:c>
      <x:c r="B253" s="12" t="n">
        <x:v>46111</x:v>
      </x:c>
      <x:c r="C253" t="str">
        <x:v>Mar 30</x:v>
      </x:c>
      <x:c r="D253" t="n">
        <x:v>16</x:v>
      </x:c>
      <x:c r="E253" t="n">
        <x:v>10</x:v>
      </x:c>
      <x:c r="F253" s="14" t="n">
        <x:v>6</x:v>
      </x:c>
      <x:c r="G253" t="str">
        <x:v>2mo ago</x:v>
      </x:c>
      <x:c r="H253" t="str">
        <x:v>Competitive</x:v>
      </x:c>
      <x:c r="I253" t="str">
        <x:v>Domination</x:v>
      </x:c>
      <x:c r="J253" t="str">
        <x:v>Celestial Husk</x:v>
      </x:c>
      <x:c r="K253" t="str">
        <x:v>Peni Parker</x:v>
      </x:c>
      <x:c r="L253" t="str">
        <x:v>Win</x:v>
      </x:c>
      <x:c r="M253" t="str"/>
      <x:c r="N253" t="n">
        <x:v>0</x:v>
      </x:c>
      <x:c r="O253" t="n">
        <x:v>2</x:v>
      </x:c>
      <x:c r="P253" t="str">
        <x:v>Diamond III</x:v>
      </x:c>
      <x:c r="Q253" t="n">
        <x:v>4276</x:v>
      </x:c>
      <x:c r="R253" s="14" t="n">
        <x:v>22</x:v>
      </x:c>
      <x:c r="S253" t="n">
        <x:v>9</x:v>
      </x:c>
      <x:c r="T253" t="n">
        <x:v>4</x:v>
      </x:c>
      <x:c r="U253" t="n">
        <x:v>11</x:v>
      </x:c>
      <x:c r="V253" s="16" t="n">
        <x:v>5</x:v>
      </x:c>
      <x:c r="W253" t="str">
        <x:v>Parsed from Tracker.gg MHTML/PDF export; competitive rows only.</x:v>
      </x:c>
      <x:c r="X253" t="n">
        <x:f>IF(L253="Win",1,0)</x:f>
        <x:v>1</x:v>
      </x:c>
      <x:c r="Y253" s="14" t="n">
        <x:f>IF(L253="Loss",1,0)</x:f>
        <x:v>0</x:v>
      </x:c>
      <x:c r="Z253" t="n">
        <x:f>IF(L253="Draw/Unknown",1,0)</x:f>
        <x:v>0</x:v>
      </x:c>
      <x:c r="AA253" s="16" t="str">
        <x:f>IF(OR(N253="",O253=""),"",N253-O253)</x:f>
      </x:c>
      <x:c r="AB253" s="16" t="n">
        <x:f>IF(T253=0,S253+U253,(S253+U253)/T253)</x:f>
        <x:v>5</x:v>
      </x:c>
      <x:c r="AC253" t="n">
        <x:f>S253+U253</x:f>
        <x:v>20</x:v>
      </x:c>
      <x:c r="AD253" t="n">
        <x:f>IF(T253=0,1,0)</x:f>
        <x:v>0</x:v>
      </x:c>
      <x:c r="AE253" t="str">
        <x:f>IF(R253&gt;0,"Gain",IF(R253&lt;0,"Loss","Neutral"))</x:f>
        <x:v>Gain</x:v>
      </x:c>
    </x:row>
    <x:row r="254">
      <x:c r="A254" t="n">
        <x:v>253</x:v>
      </x:c>
      <x:c r="B254" s="12" t="n">
        <x:v>46111</x:v>
      </x:c>
      <x:c r="C254" t="str">
        <x:v>Mar 30</x:v>
      </x:c>
      <x:c r="D254" t="n">
        <x:v>16</x:v>
      </x:c>
      <x:c r="E254" t="n">
        <x:v>10</x:v>
      </x:c>
      <x:c r="F254" s="14" t="n">
        <x:v>6</x:v>
      </x:c>
      <x:c r="G254" t="str">
        <x:v>2mo ago</x:v>
      </x:c>
      <x:c r="H254" t="str">
        <x:v>Competitive</x:v>
      </x:c>
      <x:c r="I254" t="str">
        <x:v>Convergence</x:v>
      </x:c>
      <x:c r="J254" t="str">
        <x:v>Symbiotic Surface</x:v>
      </x:c>
      <x:c r="K254" t="str">
        <x:v>Squirrel Girl</x:v>
      </x:c>
      <x:c r="L254" t="str">
        <x:v>Loss</x:v>
      </x:c>
      <x:c r="M254" t="str"/>
      <x:c r="N254" t="n">
        <x:v>4</x:v>
      </x:c>
      <x:c r="O254" t="n">
        <x:v>5</x:v>
      </x:c>
      <x:c r="P254" t="str">
        <x:v>Diamond III</x:v>
      </x:c>
      <x:c r="Q254" t="n">
        <x:v>4254</x:v>
      </x:c>
      <x:c r="R254" s="14" t="n">
        <x:v>-19</x:v>
      </x:c>
      <x:c r="S254" t="n">
        <x:v>28</x:v>
      </x:c>
      <x:c r="T254" t="n">
        <x:v>18</x:v>
      </x:c>
      <x:c r="U254" t="n">
        <x:v>9</x:v>
      </x:c>
      <x:c r="V254" s="16" t="n">
        <x:v>2.06</x:v>
      </x:c>
      <x:c r="W254" t="str">
        <x:v>Parsed from Tracker.gg MHTML/PDF export; competitive rows only.</x:v>
      </x:c>
      <x:c r="X254" t="n">
        <x:f>IF(L254="Win",1,0)</x:f>
        <x:v>0</x:v>
      </x:c>
      <x:c r="Y254" s="14" t="n">
        <x:f>IF(L254="Loss",1,0)</x:f>
        <x:v>1</x:v>
      </x:c>
      <x:c r="Z254" t="n">
        <x:f>IF(L254="Draw/Unknown",1,0)</x:f>
        <x:v>0</x:v>
      </x:c>
      <x:c r="AA254" s="16" t="n">
        <x:f>IF(OR(N254="",O254=""),"",N254-O254)</x:f>
        <x:v>-1</x:v>
      </x:c>
      <x:c r="AB254" s="16" t="n">
        <x:f>IF(T254=0,S254+U254,(S254+U254)/T254)</x:f>
        <x:v>2.0555555555555554</x:v>
      </x:c>
      <x:c r="AC254" t="n">
        <x:f>S254+U254</x:f>
        <x:v>37</x:v>
      </x:c>
      <x:c r="AD254" t="n">
        <x:f>IF(T254=0,1,0)</x:f>
        <x:v>0</x:v>
      </x:c>
      <x:c r="AE254" t="str">
        <x:f>IF(R254&gt;0,"Gain",IF(R254&lt;0,"Loss","Neutral"))</x:f>
        <x:v>Loss</x:v>
      </x:c>
    </x:row>
    <x:row r="255">
      <x:c r="A255" t="n">
        <x:v>254</x:v>
      </x:c>
      <x:c r="B255" s="12" t="n">
        <x:v>46110</x:v>
      </x:c>
      <x:c r="C255" t="str">
        <x:v>Mar 29</x:v>
      </x:c>
      <x:c r="D255" t="n">
        <x:v>20</x:v>
      </x:c>
      <x:c r="E255" t="n">
        <x:v>8</x:v>
      </x:c>
      <x:c r="F255" s="14" t="n">
        <x:v>12</x:v>
      </x:c>
      <x:c r="G255" t="str">
        <x:v>2mo ago</x:v>
      </x:c>
      <x:c r="H255" t="str">
        <x:v>Competitive</x:v>
      </x:c>
      <x:c r="I255" t="str">
        <x:v>Convergence</x:v>
      </x:c>
      <x:c r="J255" t="str">
        <x:v>Central Park</x:v>
      </x:c>
      <x:c r="K255" t="str">
        <x:v>Cloak &amp; Dagger</x:v>
      </x:c>
      <x:c r="L255" t="str">
        <x:v>Loss</x:v>
      </x:c>
      <x:c r="M255" t="str"/>
      <x:c r="N255" t="n">
        <x:v>3</x:v>
      </x:c>
      <x:c r="O255" t="n">
        <x:v>0</x:v>
      </x:c>
      <x:c r="P255" t="str">
        <x:v>Diamond III</x:v>
      </x:c>
      <x:c r="Q255" t="n">
        <x:v>4273</x:v>
      </x:c>
      <x:c r="R255" s="14" t="n">
        <x:v>-15</x:v>
      </x:c>
      <x:c r="S255" t="n">
        <x:v>6</x:v>
      </x:c>
      <x:c r="T255" t="n">
        <x:v>13</x:v>
      </x:c>
      <x:c r="U255" t="n">
        <x:v>5</x:v>
      </x:c>
      <x:c r="V255" s="16" t="n">
        <x:v>0.85</x:v>
      </x:c>
      <x:c r="W255" t="str">
        <x:v>Parsed from Tracker.gg MHTML/PDF export; competitive rows only.</x:v>
      </x:c>
      <x:c r="X255" t="n">
        <x:f>IF(L255="Win",1,0)</x:f>
        <x:v>0</x:v>
      </x:c>
      <x:c r="Y255" s="14" t="n">
        <x:f>IF(L255="Loss",1,0)</x:f>
        <x:v>1</x:v>
      </x:c>
      <x:c r="Z255" t="n">
        <x:f>IF(L255="Draw/Unknown",1,0)</x:f>
        <x:v>0</x:v>
      </x:c>
      <x:c r="AA255" s="16" t="str">
        <x:f>IF(OR(N255="",O255=""),"",N255-O255)</x:f>
      </x:c>
      <x:c r="AB255" s="16" t="n">
        <x:f>IF(T255=0,S255+U255,(S255+U255)/T255)</x:f>
        <x:v>0.8461538461538461</x:v>
      </x:c>
      <x:c r="AC255" t="n">
        <x:f>S255+U255</x:f>
        <x:v>11</x:v>
      </x:c>
      <x:c r="AD255" t="n">
        <x:f>IF(T255=0,1,0)</x:f>
        <x:v>0</x:v>
      </x:c>
      <x:c r="AE255" t="str">
        <x:f>IF(R255&gt;0,"Gain",IF(R255&lt;0,"Loss","Neutral"))</x:f>
        <x:v>Loss</x:v>
      </x:c>
    </x:row>
    <x:row r="256">
      <x:c r="A256" t="n">
        <x:v>255</x:v>
      </x:c>
      <x:c r="B256" s="12" t="n">
        <x:v>46110</x:v>
      </x:c>
      <x:c r="C256" t="str">
        <x:v>Mar 29</x:v>
      </x:c>
      <x:c r="D256" t="n">
        <x:v>20</x:v>
      </x:c>
      <x:c r="E256" t="n">
        <x:v>8</x:v>
      </x:c>
      <x:c r="F256" s="14" t="n">
        <x:v>12</x:v>
      </x:c>
      <x:c r="G256" t="str">
        <x:v>2mo ago</x:v>
      </x:c>
      <x:c r="H256" t="str">
        <x:v>Competitive</x:v>
      </x:c>
      <x:c r="I256" t="str">
        <x:v>Domination</x:v>
      </x:c>
      <x:c r="J256" t="str">
        <x:v>Hell's Heaven</x:v>
      </x:c>
      <x:c r="K256" t="str">
        <x:v>Groot</x:v>
      </x:c>
      <x:c r="L256" t="str">
        <x:v>Win</x:v>
      </x:c>
      <x:c r="M256" t="str"/>
      <x:c r="N256" t="n">
        <x:v>1</x:v>
      </x:c>
      <x:c r="O256" t="n">
        <x:v>2</x:v>
      </x:c>
      <x:c r="P256" t="str">
        <x:v>Diamond III</x:v>
      </x:c>
      <x:c r="Q256" t="n">
        <x:v>4288</x:v>
      </x:c>
      <x:c r="R256" s="14" t="n">
        <x:v>23</x:v>
      </x:c>
      <x:c r="S256" t="n">
        <x:v>22</x:v>
      </x:c>
      <x:c r="T256" t="n">
        <x:v>6</x:v>
      </x:c>
      <x:c r="U256" t="n">
        <x:v>5</x:v>
      </x:c>
      <x:c r="V256" s="16" t="n">
        <x:v>4.5</x:v>
      </x:c>
      <x:c r="W256" t="str">
        <x:v>Parsed from Tracker.gg MHTML/PDF export; competitive rows only.</x:v>
      </x:c>
      <x:c r="X256" t="n">
        <x:f>IF(L256="Win",1,0)</x:f>
        <x:v>1</x:v>
      </x:c>
      <x:c r="Y256" s="14" t="n">
        <x:f>IF(L256="Loss",1,0)</x:f>
        <x:v>0</x:v>
      </x:c>
      <x:c r="Z256" t="n">
        <x:f>IF(L256="Draw/Unknown",1,0)</x:f>
        <x:v>0</x:v>
      </x:c>
      <x:c r="AA256" s="16" t="n">
        <x:f>IF(OR(N256="",O256=""),"",N256-O256)</x:f>
        <x:v>-1</x:v>
      </x:c>
      <x:c r="AB256" s="16" t="n">
        <x:f>IF(T256=0,S256+U256,(S256+U256)/T256)</x:f>
        <x:v>4.5</x:v>
      </x:c>
      <x:c r="AC256" t="n">
        <x:f>S256+U256</x:f>
        <x:v>27</x:v>
      </x:c>
      <x:c r="AD256" t="n">
        <x:f>IF(T256=0,1,0)</x:f>
        <x:v>0</x:v>
      </x:c>
      <x:c r="AE256" t="str">
        <x:f>IF(R256&gt;0,"Gain",IF(R256&lt;0,"Loss","Neutral"))</x:f>
        <x:v>Gain</x:v>
      </x:c>
    </x:row>
    <x:row r="257">
      <x:c r="A257" t="n">
        <x:v>256</x:v>
      </x:c>
      <x:c r="B257" s="12" t="n">
        <x:v>46110</x:v>
      </x:c>
      <x:c r="C257" t="str">
        <x:v>Mar 29</x:v>
      </x:c>
      <x:c r="D257" t="n">
        <x:v>20</x:v>
      </x:c>
      <x:c r="E257" t="n">
        <x:v>8</x:v>
      </x:c>
      <x:c r="F257" s="14" t="n">
        <x:v>12</x:v>
      </x:c>
      <x:c r="G257" t="str">
        <x:v>2mo ago</x:v>
      </x:c>
      <x:c r="H257" t="str">
        <x:v>Competitive</x:v>
      </x:c>
      <x:c r="I257" t="str">
        <x:v>Domination</x:v>
      </x:c>
      <x:c r="J257" t="str">
        <x:v>Krakoa</x:v>
      </x:c>
      <x:c r="K257" t="str">
        <x:v>The Thing</x:v>
      </x:c>
      <x:c r="L257" t="str">
        <x:v>Loss</x:v>
      </x:c>
      <x:c r="M257" t="str"/>
      <x:c r="N257" t="n">
        <x:v>0</x:v>
      </x:c>
      <x:c r="O257" t="n">
        <x:v>2</x:v>
      </x:c>
      <x:c r="P257" t="str">
        <x:v>Diamond III</x:v>
      </x:c>
      <x:c r="Q257" t="n">
        <x:v>4265</x:v>
      </x:c>
      <x:c r="R257" s="14" t="n">
        <x:v>-23</x:v>
      </x:c>
      <x:c r="S257" t="n">
        <x:v>10</x:v>
      </x:c>
      <x:c r="T257" t="n">
        <x:v>6</x:v>
      </x:c>
      <x:c r="U257" t="n">
        <x:v>3</x:v>
      </x:c>
      <x:c r="V257" s="16" t="n">
        <x:v>2.17</x:v>
      </x:c>
      <x:c r="W257" t="str">
        <x:v>Parsed from Tracker.gg MHTML/PDF export; competitive rows only.</x:v>
      </x:c>
      <x:c r="X257" t="n">
        <x:f>IF(L257="Win",1,0)</x:f>
        <x:v>0</x:v>
      </x:c>
      <x:c r="Y257" s="14" t="n">
        <x:f>IF(L257="Loss",1,0)</x:f>
        <x:v>1</x:v>
      </x:c>
      <x:c r="Z257" t="n">
        <x:f>IF(L257="Draw/Unknown",1,0)</x:f>
        <x:v>0</x:v>
      </x:c>
      <x:c r="AA257" s="16" t="str">
        <x:f>IF(OR(N257="",O257=""),"",N257-O257)</x:f>
      </x:c>
      <x:c r="AB257" s="16" t="n">
        <x:f>IF(T257=0,S257+U257,(S257+U257)/T257)</x:f>
        <x:v>2.1666666666666665</x:v>
      </x:c>
      <x:c r="AC257" t="n">
        <x:f>S257+U257</x:f>
        <x:v>13</x:v>
      </x:c>
      <x:c r="AD257" t="n">
        <x:f>IF(T257=0,1,0)</x:f>
        <x:v>0</x:v>
      </x:c>
      <x:c r="AE257" t="str">
        <x:f>IF(R257&gt;0,"Gain",IF(R257&lt;0,"Loss","Neutral"))</x:f>
        <x:v>Loss</x:v>
      </x:c>
    </x:row>
    <x:row r="258">
      <x:c r="A258" t="n">
        <x:v>257</x:v>
      </x:c>
      <x:c r="B258" s="12" t="n">
        <x:v>46110</x:v>
      </x:c>
      <x:c r="C258" t="str">
        <x:v>Mar 29</x:v>
      </x:c>
      <x:c r="D258" t="n">
        <x:v>20</x:v>
      </x:c>
      <x:c r="E258" t="n">
        <x:v>8</x:v>
      </x:c>
      <x:c r="F258" s="14" t="n">
        <x:v>12</x:v>
      </x:c>
      <x:c r="G258" t="str">
        <x:v>2mo ago</x:v>
      </x:c>
      <x:c r="H258" t="str">
        <x:v>Competitive</x:v>
      </x:c>
      <x:c r="I258" t="str">
        <x:v>Convergence</x:v>
      </x:c>
      <x:c r="J258" t="str">
        <x:v>Hall Of Djalia</x:v>
      </x:c>
      <x:c r="K258" t="str">
        <x:v>Peni Parker</x:v>
      </x:c>
      <x:c r="L258" t="str">
        <x:v>Win</x:v>
      </x:c>
      <x:c r="M258" t="str"/>
      <x:c r="N258" t="n">
        <x:v>0</x:v>
      </x:c>
      <x:c r="O258" t="n">
        <x:v>1</x:v>
      </x:c>
      <x:c r="P258" t="str">
        <x:v>Diamond III</x:v>
      </x:c>
      <x:c r="Q258" t="n">
        <x:v>4287</x:v>
      </x:c>
      <x:c r="R258" s="14" t="n">
        <x:v>23</x:v>
      </x:c>
      <x:c r="S258" t="n">
        <x:v>16</x:v>
      </x:c>
      <x:c r="T258" t="n">
        <x:v>5</x:v>
      </x:c>
      <x:c r="U258" t="n">
        <x:v>12</x:v>
      </x:c>
      <x:c r="V258" s="16" t="n">
        <x:v>5.6</x:v>
      </x:c>
      <x:c r="W258" t="str">
        <x:v>Parsed from Tracker.gg MHTML/PDF export; competitive rows only.</x:v>
      </x:c>
      <x:c r="X258" t="n">
        <x:f>IF(L258="Win",1,0)</x:f>
        <x:v>1</x:v>
      </x:c>
      <x:c r="Y258" s="14" t="n">
        <x:f>IF(L258="Loss",1,0)</x:f>
        <x:v>0</x:v>
      </x:c>
      <x:c r="Z258" t="n">
        <x:f>IF(L258="Draw/Unknown",1,0)</x:f>
        <x:v>0</x:v>
      </x:c>
      <x:c r="AA258" s="16" t="str">
        <x:f>IF(OR(N258="",O258=""),"",N258-O258)</x:f>
      </x:c>
      <x:c r="AB258" s="16" t="n">
        <x:f>IF(T258=0,S258+U258,(S258+U258)/T258)</x:f>
        <x:v>5.6</x:v>
      </x:c>
      <x:c r="AC258" t="n">
        <x:f>S258+U258</x:f>
        <x:v>28</x:v>
      </x:c>
      <x:c r="AD258" t="n">
        <x:f>IF(T258=0,1,0)</x:f>
        <x:v>0</x:v>
      </x:c>
      <x:c r="AE258" t="str">
        <x:f>IF(R258&gt;0,"Gain",IF(R258&lt;0,"Loss","Neutral"))</x:f>
        <x:v>Gain</x:v>
      </x:c>
    </x:row>
    <x:row r="259">
      <x:c r="A259" t="n">
        <x:v>258</x:v>
      </x:c>
      <x:c r="B259" s="12" t="n">
        <x:v>46110</x:v>
      </x:c>
      <x:c r="C259" t="str">
        <x:v>Mar 29</x:v>
      </x:c>
      <x:c r="D259" t="n">
        <x:v>20</x:v>
      </x:c>
      <x:c r="E259" t="n">
        <x:v>8</x:v>
      </x:c>
      <x:c r="F259" s="14" t="n">
        <x:v>12</x:v>
      </x:c>
      <x:c r="G259" t="str">
        <x:v>2mo ago</x:v>
      </x:c>
      <x:c r="H259" t="str">
        <x:v>Competitive</x:v>
      </x:c>
      <x:c r="I259" t="str">
        <x:v>Convoy</x:v>
      </x:c>
      <x:c r="J259" t="str">
        <x:v>Yggdrasill Path</x:v>
      </x:c>
      <x:c r="K259" t="str">
        <x:v>The Thing</x:v>
      </x:c>
      <x:c r="L259" t="str">
        <x:v>Win</x:v>
      </x:c>
      <x:c r="M259" t="str"/>
      <x:c r="N259" t="n">
        <x:v>5</x:v>
      </x:c>
      <x:c r="O259" t="n">
        <x:v>4</x:v>
      </x:c>
      <x:c r="P259" t="str">
        <x:v>Diamond III</x:v>
      </x:c>
      <x:c r="Q259" t="n">
        <x:v>4263</x:v>
      </x:c>
      <x:c r="R259" s="14" t="n">
        <x:v>19</x:v>
      </x:c>
      <x:c r="S259" t="n">
        <x:v>27</x:v>
      </x:c>
      <x:c r="T259" t="n">
        <x:v>17</x:v>
      </x:c>
      <x:c r="U259" t="n">
        <x:v>8</x:v>
      </x:c>
      <x:c r="V259" s="16" t="n">
        <x:v>2.06</x:v>
      </x:c>
      <x:c r="W259" t="str">
        <x:v>Parsed from Tracker.gg MHTML/PDF export; competitive rows only.</x:v>
      </x:c>
      <x:c r="X259" t="n">
        <x:f>IF(L259="Win",1,0)</x:f>
        <x:v>1</x:v>
      </x:c>
      <x:c r="Y259" s="14" t="n">
        <x:f>IF(L259="Loss",1,0)</x:f>
        <x:v>0</x:v>
      </x:c>
      <x:c r="Z259" t="n">
        <x:f>IF(L259="Draw/Unknown",1,0)</x:f>
        <x:v>0</x:v>
      </x:c>
      <x:c r="AA259" s="16" t="n">
        <x:f>IF(OR(N259="",O259=""),"",N259-O259)</x:f>
        <x:v>1</x:v>
      </x:c>
      <x:c r="AB259" s="16" t="n">
        <x:f>IF(T259=0,S259+U259,(S259+U259)/T259)</x:f>
        <x:v>2.0588235294117645</x:v>
      </x:c>
      <x:c r="AC259" t="n">
        <x:f>S259+U259</x:f>
        <x:v>35</x:v>
      </x:c>
      <x:c r="AD259" t="n">
        <x:f>IF(T259=0,1,0)</x:f>
        <x:v>0</x:v>
      </x:c>
      <x:c r="AE259" t="str">
        <x:f>IF(R259&gt;0,"Gain",IF(R259&lt;0,"Loss","Neutral"))</x:f>
        <x:v>Gain</x:v>
      </x:c>
    </x:row>
    <x:row r="260">
      <x:c r="A260" t="n">
        <x:v>259</x:v>
      </x:c>
      <x:c r="B260" s="12" t="n">
        <x:v>46110</x:v>
      </x:c>
      <x:c r="C260" t="str">
        <x:v>Mar 29</x:v>
      </x:c>
      <x:c r="D260" t="n">
        <x:v>20</x:v>
      </x:c>
      <x:c r="E260" t="n">
        <x:v>8</x:v>
      </x:c>
      <x:c r="F260" s="14" t="n">
        <x:v>12</x:v>
      </x:c>
      <x:c r="G260" t="str">
        <x:v>2mo ago</x:v>
      </x:c>
      <x:c r="H260" t="str">
        <x:v>Competitive</x:v>
      </x:c>
      <x:c r="I260" t="str">
        <x:v>Convoy</x:v>
      </x:c>
      <x:c r="J260" t="str">
        <x:v>Spider-Islands</x:v>
      </x:c>
      <x:c r="K260" t="str">
        <x:v>Hela</x:v>
      </x:c>
      <x:c r="L260" t="str">
        <x:v>Loss</x:v>
      </x:c>
      <x:c r="M260" t="str"/>
      <x:c r="N260" t="n">
        <x:v>4</x:v>
      </x:c>
      <x:c r="O260" t="n">
        <x:v>3</x:v>
      </x:c>
      <x:c r="P260" t="str">
        <x:v>Diamond III</x:v>
      </x:c>
      <x:c r="Q260" t="n">
        <x:v>4243</x:v>
      </x:c>
      <x:c r="R260" s="14" t="n">
        <x:v>-13</x:v>
      </x:c>
      <x:c r="S260" t="n">
        <x:v>38</x:v>
      </x:c>
      <x:c r="T260" t="n">
        <x:v>15</x:v>
      </x:c>
      <x:c r="U260" t="n">
        <x:v>9</x:v>
      </x:c>
      <x:c r="V260" s="16" t="n">
        <x:v>3.13</x:v>
      </x:c>
      <x:c r="W260" t="str">
        <x:v>Parsed from Tracker.gg MHTML/PDF export; competitive rows only.</x:v>
      </x:c>
      <x:c r="X260" t="n">
        <x:f>IF(L260="Win",1,0)</x:f>
        <x:v>0</x:v>
      </x:c>
      <x:c r="Y260" s="14" t="n">
        <x:f>IF(L260="Loss",1,0)</x:f>
        <x:v>1</x:v>
      </x:c>
      <x:c r="Z260" t="n">
        <x:f>IF(L260="Draw/Unknown",1,0)</x:f>
        <x:v>0</x:v>
      </x:c>
      <x:c r="AA260" s="16" t="n">
        <x:f>IF(OR(N260="",O260=""),"",N260-O260)</x:f>
        <x:v>1</x:v>
      </x:c>
      <x:c r="AB260" s="16" t="n">
        <x:f>IF(T260=0,S260+U260,(S260+U260)/T260)</x:f>
        <x:v>3.1333333333333333</x:v>
      </x:c>
      <x:c r="AC260" t="n">
        <x:f>S260+U260</x:f>
        <x:v>47</x:v>
      </x:c>
      <x:c r="AD260" t="n">
        <x:f>IF(T260=0,1,0)</x:f>
        <x:v>0</x:v>
      </x:c>
      <x:c r="AE260" t="str">
        <x:f>IF(R260&gt;0,"Gain",IF(R260&lt;0,"Loss","Neutral"))</x:f>
        <x:v>Loss</x:v>
      </x:c>
    </x:row>
    <x:row r="261">
      <x:c r="A261" t="n">
        <x:v>260</x:v>
      </x:c>
      <x:c r="B261" s="12" t="n">
        <x:v>46110</x:v>
      </x:c>
      <x:c r="C261" t="str">
        <x:v>Mar 29</x:v>
      </x:c>
      <x:c r="D261" t="n">
        <x:v>20</x:v>
      </x:c>
      <x:c r="E261" t="n">
        <x:v>8</x:v>
      </x:c>
      <x:c r="F261" s="14" t="n">
        <x:v>12</x:v>
      </x:c>
      <x:c r="G261" t="str">
        <x:v>2mo ago</x:v>
      </x:c>
      <x:c r="H261" t="str">
        <x:v>Competitive</x:v>
      </x:c>
      <x:c r="I261" t="str">
        <x:v>Convergence</x:v>
      </x:c>
      <x:c r="J261" t="str">
        <x:v>Symbiotic Surface</x:v>
      </x:c>
      <x:c r="K261" t="str">
        <x:v>Ultron</x:v>
      </x:c>
      <x:c r="L261" t="str">
        <x:v>Loss</x:v>
      </x:c>
      <x:c r="M261" t="str">
        <x:v>SVP</x:v>
      </x:c>
      <x:c r="N261" t="n">
        <x:v>2</x:v>
      </x:c>
      <x:c r="O261" t="n">
        <x:v>1</x:v>
      </x:c>
      <x:c r="P261" t="str">
        <x:v>Diamond III</x:v>
      </x:c>
      <x:c r="Q261" t="n">
        <x:v>4256</x:v>
      </x:c>
      <x:c r="R261" s="14" t="n">
        <x:v>-19</x:v>
      </x:c>
      <x:c r="S261" t="n">
        <x:v>25</x:v>
      </x:c>
      <x:c r="T261" t="n">
        <x:v>6</x:v>
      </x:c>
      <x:c r="U261" t="n">
        <x:v>30</x:v>
      </x:c>
      <x:c r="V261" s="16" t="n">
        <x:v>9.17</x:v>
      </x:c>
      <x:c r="W261" t="str">
        <x:v>Parsed from Tracker.gg MHTML/PDF export; competitive rows only.</x:v>
      </x:c>
      <x:c r="X261" t="n">
        <x:f>IF(L261="Win",1,0)</x:f>
        <x:v>0</x:v>
      </x:c>
      <x:c r="Y261" s="14" t="n">
        <x:f>IF(L261="Loss",1,0)</x:f>
        <x:v>1</x:v>
      </x:c>
      <x:c r="Z261" t="n">
        <x:f>IF(L261="Draw/Unknown",1,0)</x:f>
        <x:v>0</x:v>
      </x:c>
      <x:c r="AA261" s="16" t="n">
        <x:f>IF(OR(N261="",O261=""),"",N261-O261)</x:f>
        <x:v>1</x:v>
      </x:c>
      <x:c r="AB261" s="16" t="n">
        <x:f>IF(T261=0,S261+U261,(S261+U261)/T261)</x:f>
        <x:v>9.166666666666666</x:v>
      </x:c>
      <x:c r="AC261" t="n">
        <x:f>S261+U261</x:f>
        <x:v>55</x:v>
      </x:c>
      <x:c r="AD261" t="n">
        <x:f>IF(T261=0,1,0)</x:f>
        <x:v>0</x:v>
      </x:c>
      <x:c r="AE261" t="str">
        <x:f>IF(R261&gt;0,"Gain",IF(R261&lt;0,"Loss","Neutral"))</x:f>
        <x:v>Loss</x:v>
      </x:c>
    </x:row>
    <x:row r="262">
      <x:c r="A262" t="n">
        <x:v>261</x:v>
      </x:c>
      <x:c r="B262" s="12" t="n">
        <x:v>46110</x:v>
      </x:c>
      <x:c r="C262" t="str">
        <x:v>Mar 29</x:v>
      </x:c>
      <x:c r="D262" t="n">
        <x:v>20</x:v>
      </x:c>
      <x:c r="E262" t="n">
        <x:v>8</x:v>
      </x:c>
      <x:c r="F262" s="14" t="n">
        <x:v>12</x:v>
      </x:c>
      <x:c r="G262" t="str">
        <x:v>2mo ago</x:v>
      </x:c>
      <x:c r="H262" t="str">
        <x:v>Competitive</x:v>
      </x:c>
      <x:c r="I262" t="str">
        <x:v>Convergence</x:v>
      </x:c>
      <x:c r="J262" t="str">
        <x:v>Shin-Shibuya</x:v>
      </x:c>
      <x:c r="K262" t="str">
        <x:v>The Thing</x:v>
      </x:c>
      <x:c r="L262" t="str">
        <x:v>Loss</x:v>
      </x:c>
      <x:c r="M262" t="str"/>
      <x:c r="N262" t="n">
        <x:v>3</x:v>
      </x:c>
      <x:c r="O262" t="n">
        <x:v>0</x:v>
      </x:c>
      <x:c r="P262" t="str">
        <x:v>Diamond III</x:v>
      </x:c>
      <x:c r="Q262" t="n">
        <x:v>4274</x:v>
      </x:c>
      <x:c r="R262" s="14" t="n">
        <x:v>-22</x:v>
      </x:c>
      <x:c r="S262" t="n">
        <x:v>13</x:v>
      </x:c>
      <x:c r="T262" t="n">
        <x:v>11</x:v>
      </x:c>
      <x:c r="U262" t="n">
        <x:v>9</x:v>
      </x:c>
      <x:c r="V262" s="16" t="n">
        <x:v>2</x:v>
      </x:c>
      <x:c r="W262" t="str">
        <x:v>Parsed from Tracker.gg MHTML/PDF export; competitive rows only.</x:v>
      </x:c>
      <x:c r="X262" t="n">
        <x:f>IF(L262="Win",1,0)</x:f>
        <x:v>0</x:v>
      </x:c>
      <x:c r="Y262" s="14" t="n">
        <x:f>IF(L262="Loss",1,0)</x:f>
        <x:v>1</x:v>
      </x:c>
      <x:c r="Z262" t="n">
        <x:f>IF(L262="Draw/Unknown",1,0)</x:f>
        <x:v>0</x:v>
      </x:c>
      <x:c r="AA262" s="16" t="str">
        <x:f>IF(OR(N262="",O262=""),"",N262-O262)</x:f>
      </x:c>
      <x:c r="AB262" s="16" t="n">
        <x:f>IF(T262=0,S262+U262,(S262+U262)/T262)</x:f>
        <x:v>2</x:v>
      </x:c>
      <x:c r="AC262" t="n">
        <x:f>S262+U262</x:f>
        <x:v>22</x:v>
      </x:c>
      <x:c r="AD262" t="n">
        <x:f>IF(T262=0,1,0)</x:f>
        <x:v>0</x:v>
      </x:c>
      <x:c r="AE262" t="str">
        <x:f>IF(R262&gt;0,"Gain",IF(R262&lt;0,"Loss","Neutral"))</x:f>
        <x:v>Loss</x:v>
      </x:c>
    </x:row>
    <x:row r="263">
      <x:c r="A263" t="n">
        <x:v>262</x:v>
      </x:c>
      <x:c r="B263" s="12" t="n">
        <x:v>46110</x:v>
      </x:c>
      <x:c r="C263" t="str">
        <x:v>Mar 29</x:v>
      </x:c>
      <x:c r="D263" t="n">
        <x:v>20</x:v>
      </x:c>
      <x:c r="E263" t="n">
        <x:v>8</x:v>
      </x:c>
      <x:c r="F263" s="14" t="n">
        <x:v>12</x:v>
      </x:c>
      <x:c r="G263" t="str">
        <x:v>2mo ago</x:v>
      </x:c>
      <x:c r="H263" t="str">
        <x:v>Competitive</x:v>
      </x:c>
      <x:c r="I263" t="str">
        <x:v>Convoy</x:v>
      </x:c>
      <x:c r="J263" t="str">
        <x:v>Yggdrasill Path</x:v>
      </x:c>
      <x:c r="K263" t="str">
        <x:v>Bruce Banner</x:v>
      </x:c>
      <x:c r="L263" t="str">
        <x:v>Win</x:v>
      </x:c>
      <x:c r="M263" t="str"/>
      <x:c r="N263" t="n">
        <x:v>3</x:v>
      </x:c>
      <x:c r="O263" t="n">
        <x:v>0</x:v>
      </x:c>
      <x:c r="P263" t="str">
        <x:v>Diamond III</x:v>
      </x:c>
      <x:c r="Q263" t="n">
        <x:v>4295</x:v>
      </x:c>
      <x:c r="R263" s="14" t="n">
        <x:v>24</x:v>
      </x:c>
      <x:c r="S263" t="n">
        <x:v>24</x:v>
      </x:c>
      <x:c r="T263" t="n">
        <x:v>4</x:v>
      </x:c>
      <x:c r="U263" t="n">
        <x:v>10</x:v>
      </x:c>
      <x:c r="V263" s="16" t="n">
        <x:v>8.5</x:v>
      </x:c>
      <x:c r="W263" t="str">
        <x:v>Parsed from Tracker.gg MHTML/PDF export; competitive rows only.</x:v>
      </x:c>
      <x:c r="X263" t="n">
        <x:f>IF(L263="Win",1,0)</x:f>
        <x:v>1</x:v>
      </x:c>
      <x:c r="Y263" s="14" t="n">
        <x:f>IF(L263="Loss",1,0)</x:f>
        <x:v>0</x:v>
      </x:c>
      <x:c r="Z263" t="n">
        <x:f>IF(L263="Draw/Unknown",1,0)</x:f>
        <x:v>0</x:v>
      </x:c>
      <x:c r="AA263" s="16" t="str">
        <x:f>IF(OR(N263="",O263=""),"",N263-O263)</x:f>
      </x:c>
      <x:c r="AB263" s="16" t="n">
        <x:f>IF(T263=0,S263+U263,(S263+U263)/T263)</x:f>
        <x:v>8.5</x:v>
      </x:c>
      <x:c r="AC263" t="n">
        <x:f>S263+U263</x:f>
        <x:v>34</x:v>
      </x:c>
      <x:c r="AD263" t="n">
        <x:f>IF(T263=0,1,0)</x:f>
        <x:v>0</x:v>
      </x:c>
      <x:c r="AE263" t="str">
        <x:f>IF(R263&gt;0,"Gain",IF(R263&lt;0,"Loss","Neutral"))</x:f>
        <x:v>Gain</x:v>
      </x:c>
    </x:row>
    <x:row r="264">
      <x:c r="A264" t="n">
        <x:v>263</x:v>
      </x:c>
      <x:c r="B264" s="12" t="n">
        <x:v>46110</x:v>
      </x:c>
      <x:c r="C264" t="str">
        <x:v>Mar 29</x:v>
      </x:c>
      <x:c r="D264" t="n">
        <x:v>20</x:v>
      </x:c>
      <x:c r="E264" t="n">
        <x:v>8</x:v>
      </x:c>
      <x:c r="F264" s="14" t="n">
        <x:v>12</x:v>
      </x:c>
      <x:c r="G264" t="str">
        <x:v>2mo ago</x:v>
      </x:c>
      <x:c r="H264" t="str">
        <x:v>Competitive</x:v>
      </x:c>
      <x:c r="I264" t="str">
        <x:v>Domination</x:v>
      </x:c>
      <x:c r="J264" t="str">
        <x:v>Birnin T'Challa</x:v>
      </x:c>
      <x:c r="K264" t="str">
        <x:v>Angela</x:v>
      </x:c>
      <x:c r="L264" t="str">
        <x:v>Win</x:v>
      </x:c>
      <x:c r="M264" t="str"/>
      <x:c r="N264" t="n">
        <x:v>1</x:v>
      </x:c>
      <x:c r="O264" t="n">
        <x:v>2</x:v>
      </x:c>
      <x:c r="P264" t="str">
        <x:v>Diamond III</x:v>
      </x:c>
      <x:c r="Q264" t="n">
        <x:v>4271</x:v>
      </x:c>
      <x:c r="R264" s="14" t="n">
        <x:v>26</x:v>
      </x:c>
      <x:c r="S264" t="n">
        <x:v>20</x:v>
      </x:c>
      <x:c r="T264" t="n">
        <x:v>6</x:v>
      </x:c>
      <x:c r="U264" t="n">
        <x:v>1</x:v>
      </x:c>
      <x:c r="V264" s="16" t="n">
        <x:v>3.5</x:v>
      </x:c>
      <x:c r="W264" t="str">
        <x:v>Parsed from Tracker.gg MHTML/PDF export; competitive rows only.</x:v>
      </x:c>
      <x:c r="X264" t="n">
        <x:f>IF(L264="Win",1,0)</x:f>
        <x:v>1</x:v>
      </x:c>
      <x:c r="Y264" s="14" t="n">
        <x:f>IF(L264="Loss",1,0)</x:f>
        <x:v>0</x:v>
      </x:c>
      <x:c r="Z264" t="n">
        <x:f>IF(L264="Draw/Unknown",1,0)</x:f>
        <x:v>0</x:v>
      </x:c>
      <x:c r="AA264" s="16" t="n">
        <x:f>IF(OR(N264="",O264=""),"",N264-O264)</x:f>
        <x:v>-1</x:v>
      </x:c>
      <x:c r="AB264" s="16" t="n">
        <x:f>IF(T264=0,S264+U264,(S264+U264)/T264)</x:f>
        <x:v>3.5</x:v>
      </x:c>
      <x:c r="AC264" t="n">
        <x:f>S264+U264</x:f>
        <x:v>21</x:v>
      </x:c>
      <x:c r="AD264" t="n">
        <x:f>IF(T264=0,1,0)</x:f>
        <x:v>0</x:v>
      </x:c>
      <x:c r="AE264" t="str">
        <x:f>IF(R264&gt;0,"Gain",IF(R264&lt;0,"Loss","Neutral"))</x:f>
        <x:v>Gain</x:v>
      </x:c>
    </x:row>
    <x:row r="265">
      <x:c r="A265" t="n">
        <x:v>264</x:v>
      </x:c>
      <x:c r="B265" s="12" t="n">
        <x:v>46110</x:v>
      </x:c>
      <x:c r="C265" t="str">
        <x:v>Mar 29</x:v>
      </x:c>
      <x:c r="D265" t="n">
        <x:v>20</x:v>
      </x:c>
      <x:c r="E265" t="n">
        <x:v>8</x:v>
      </x:c>
      <x:c r="F265" s="14" t="n">
        <x:v>12</x:v>
      </x:c>
      <x:c r="G265" t="str">
        <x:v>2mo ago</x:v>
      </x:c>
      <x:c r="H265" t="str">
        <x:v>Competitive</x:v>
      </x:c>
      <x:c r="I265" t="str">
        <x:v>Convoy</x:v>
      </x:c>
      <x:c r="J265" t="str">
        <x:v>Spider-Islands</x:v>
      </x:c>
      <x:c r="K265" t="str">
        <x:v>The Thing</x:v>
      </x:c>
      <x:c r="L265" t="str">
        <x:v>Loss</x:v>
      </x:c>
      <x:c r="M265" t="str"/>
      <x:c r="N265" t="n">
        <x:v>3</x:v>
      </x:c>
      <x:c r="O265" t="n">
        <x:v>0</x:v>
      </x:c>
      <x:c r="P265" t="str">
        <x:v>Diamond III</x:v>
      </x:c>
      <x:c r="Q265" t="n">
        <x:v>4244</x:v>
      </x:c>
      <x:c r="R265" s="14" t="n">
        <x:v>-22</x:v>
      </x:c>
      <x:c r="S265" t="n">
        <x:v>11</x:v>
      </x:c>
      <x:c r="T265" t="n">
        <x:v>17</x:v>
      </x:c>
      <x:c r="U265" t="n">
        <x:v>4</x:v>
      </x:c>
      <x:c r="V265" s="16" t="n">
        <x:v>0.88</x:v>
      </x:c>
      <x:c r="W265" t="str">
        <x:v>Parsed from Tracker.gg MHTML/PDF export; competitive rows only.</x:v>
      </x:c>
      <x:c r="X265" t="n">
        <x:f>IF(L265="Win",1,0)</x:f>
        <x:v>0</x:v>
      </x:c>
      <x:c r="Y265" s="14" t="n">
        <x:f>IF(L265="Loss",1,0)</x:f>
        <x:v>1</x:v>
      </x:c>
      <x:c r="Z265" t="n">
        <x:f>IF(L265="Draw/Unknown",1,0)</x:f>
        <x:v>0</x:v>
      </x:c>
      <x:c r="AA265" s="16" t="str">
        <x:f>IF(OR(N265="",O265=""),"",N265-O265)</x:f>
      </x:c>
      <x:c r="AB265" s="16" t="n">
        <x:f>IF(T265=0,S265+U265,(S265+U265)/T265)</x:f>
        <x:v>0.8823529411764706</x:v>
      </x:c>
      <x:c r="AC265" t="n">
        <x:f>S265+U265</x:f>
        <x:v>15</x:v>
      </x:c>
      <x:c r="AD265" t="n">
        <x:f>IF(T265=0,1,0)</x:f>
        <x:v>0</x:v>
      </x:c>
      <x:c r="AE265" t="str">
        <x:f>IF(R265&gt;0,"Gain",IF(R265&lt;0,"Loss","Neutral"))</x:f>
        <x:v>Loss</x:v>
      </x:c>
    </x:row>
    <x:row r="266">
      <x:c r="A266" t="n">
        <x:v>265</x:v>
      </x:c>
      <x:c r="B266" s="12" t="n">
        <x:v>46110</x:v>
      </x:c>
      <x:c r="C266" t="str">
        <x:v>Mar 29</x:v>
      </x:c>
      <x:c r="D266" t="n">
        <x:v>20</x:v>
      </x:c>
      <x:c r="E266" t="n">
        <x:v>8</x:v>
      </x:c>
      <x:c r="F266" s="14" t="n">
        <x:v>12</x:v>
      </x:c>
      <x:c r="G266" t="str">
        <x:v>2mo ago</x:v>
      </x:c>
      <x:c r="H266" t="str">
        <x:v>Competitive</x:v>
      </x:c>
      <x:c r="I266" t="str">
        <x:v>Convoy</x:v>
      </x:c>
      <x:c r="J266" t="str">
        <x:v>Yggdrasill Path</x:v>
      </x:c>
      <x:c r="K266" t="str">
        <x:v>Thor</x:v>
      </x:c>
      <x:c r="L266" t="str">
        <x:v>Loss</x:v>
      </x:c>
      <x:c r="M266" t="str"/>
      <x:c r="N266" t="n">
        <x:v>3</x:v>
      </x:c>
      <x:c r="O266" t="n">
        <x:v>2</x:v>
      </x:c>
      <x:c r="P266" t="str">
        <x:v>Diamond III</x:v>
      </x:c>
      <x:c r="Q266" t="n">
        <x:v>4266</x:v>
      </x:c>
      <x:c r="R266" s="14" t="n">
        <x:v>-20</x:v>
      </x:c>
      <x:c r="S266" t="n">
        <x:v>34</x:v>
      </x:c>
      <x:c r="T266" t="n">
        <x:v>11</x:v>
      </x:c>
      <x:c r="U266" t="n">
        <x:v>26</x:v>
      </x:c>
      <x:c r="V266" s="16" t="n">
        <x:v>5.45</x:v>
      </x:c>
      <x:c r="W266" t="str">
        <x:v>Parsed from Tracker.gg MHTML/PDF export; competitive rows only.</x:v>
      </x:c>
      <x:c r="X266" t="n">
        <x:f>IF(L266="Win",1,0)</x:f>
        <x:v>0</x:v>
      </x:c>
      <x:c r="Y266" s="14" t="n">
        <x:f>IF(L266="Loss",1,0)</x:f>
        <x:v>1</x:v>
      </x:c>
      <x:c r="Z266" t="n">
        <x:f>IF(L266="Draw/Unknown",1,0)</x:f>
        <x:v>0</x:v>
      </x:c>
      <x:c r="AA266" s="16" t="n">
        <x:f>IF(OR(N266="",O266=""),"",N266-O266)</x:f>
        <x:v>1</x:v>
      </x:c>
      <x:c r="AB266" s="16" t="n">
        <x:f>IF(T266=0,S266+U266,(S266+U266)/T266)</x:f>
        <x:v>5.454545454545454</x:v>
      </x:c>
      <x:c r="AC266" t="n">
        <x:f>S266+U266</x:f>
        <x:v>60</x:v>
      </x:c>
      <x:c r="AD266" t="n">
        <x:f>IF(T266=0,1,0)</x:f>
        <x:v>0</x:v>
      </x:c>
      <x:c r="AE266" t="str">
        <x:f>IF(R266&gt;0,"Gain",IF(R266&lt;0,"Loss","Neutral"))</x:f>
        <x:v>Loss</x:v>
      </x:c>
    </x:row>
    <x:row r="267">
      <x:c r="A267" t="n">
        <x:v>266</x:v>
      </x:c>
      <x:c r="B267" s="12" t="n">
        <x:v>46109</x:v>
      </x:c>
      <x:c r="C267" t="str">
        <x:v>Mar 28</x:v>
      </x:c>
      <x:c r="D267" t="n">
        <x:v>10</x:v>
      </x:c>
      <x:c r="E267" t="n">
        <x:v>6</x:v>
      </x:c>
      <x:c r="F267" s="14" t="n">
        <x:v>4</x:v>
      </x:c>
      <x:c r="G267" t="str">
        <x:v>2mo ago</x:v>
      </x:c>
      <x:c r="H267" t="str">
        <x:v>Competitive</x:v>
      </x:c>
      <x:c r="I267" t="str">
        <x:v>Domination</x:v>
      </x:c>
      <x:c r="J267" t="str">
        <x:v>Celestial Husk</x:v>
      </x:c>
      <x:c r="K267" t="str">
        <x:v>The Thing</x:v>
      </x:c>
      <x:c r="L267" t="str">
        <x:v>Loss</x:v>
      </x:c>
      <x:c r="M267" t="str"/>
      <x:c r="N267" t="n">
        <x:v>0</x:v>
      </x:c>
      <x:c r="O267" t="n">
        <x:v>2</x:v>
      </x:c>
      <x:c r="P267" t="str">
        <x:v>Diamond II</x:v>
      </x:c>
      <x:c r="Q267" t="n">
        <x:v>4285</x:v>
      </x:c>
      <x:c r="R267" s="14" t="n">
        <x:v>-22</x:v>
      </x:c>
      <x:c r="S267" t="n">
        <x:v>12</x:v>
      </x:c>
      <x:c r="T267" t="n">
        <x:v>9</x:v>
      </x:c>
      <x:c r="U267" t="n">
        <x:v>12</x:v>
      </x:c>
      <x:c r="V267" s="16" t="n">
        <x:v>2.67</x:v>
      </x:c>
      <x:c r="W267" t="str">
        <x:v>Parsed from Tracker.gg MHTML/PDF export; competitive rows only.</x:v>
      </x:c>
      <x:c r="X267" t="n">
        <x:f>IF(L267="Win",1,0)</x:f>
        <x:v>0</x:v>
      </x:c>
      <x:c r="Y267" s="14" t="n">
        <x:f>IF(L267="Loss",1,0)</x:f>
        <x:v>1</x:v>
      </x:c>
      <x:c r="Z267" t="n">
        <x:f>IF(L267="Draw/Unknown",1,0)</x:f>
        <x:v>0</x:v>
      </x:c>
      <x:c r="AA267" s="16" t="str">
        <x:f>IF(OR(N267="",O267=""),"",N267-O267)</x:f>
      </x:c>
      <x:c r="AB267" s="16" t="n">
        <x:f>IF(T267=0,S267+U267,(S267+U267)/T267)</x:f>
        <x:v>2.6666666666666665</x:v>
      </x:c>
      <x:c r="AC267" t="n">
        <x:f>S267+U267</x:f>
        <x:v>24</x:v>
      </x:c>
      <x:c r="AD267" t="n">
        <x:f>IF(T267=0,1,0)</x:f>
        <x:v>0</x:v>
      </x:c>
      <x:c r="AE267" t="str">
        <x:f>IF(R267&gt;0,"Gain",IF(R267&lt;0,"Loss","Neutral"))</x:f>
        <x:v>Loss</x:v>
      </x:c>
    </x:row>
    <x:row r="268">
      <x:c r="A268" t="n">
        <x:v>267</x:v>
      </x:c>
      <x:c r="B268" s="12" t="n">
        <x:v>46109</x:v>
      </x:c>
      <x:c r="C268" t="str">
        <x:v>Mar 28</x:v>
      </x:c>
      <x:c r="D268" t="n">
        <x:v>10</x:v>
      </x:c>
      <x:c r="E268" t="n">
        <x:v>6</x:v>
      </x:c>
      <x:c r="F268" s="14" t="n">
        <x:v>4</x:v>
      </x:c>
      <x:c r="G268" t="str">
        <x:v>2mo ago</x:v>
      </x:c>
      <x:c r="H268" t="str">
        <x:v>Competitive</x:v>
      </x:c>
      <x:c r="I268" t="str">
        <x:v>Convergence</x:v>
      </x:c>
      <x:c r="J268" t="str">
        <x:v>Shin-Shibuya</x:v>
      </x:c>
      <x:c r="K268" t="str">
        <x:v>Peni Parker</x:v>
      </x:c>
      <x:c r="L268" t="str">
        <x:v>Win</x:v>
      </x:c>
      <x:c r="M268" t="str">
        <x:v>MVP</x:v>
      </x:c>
      <x:c r="N268" t="n">
        <x:v>0</x:v>
      </x:c>
      <x:c r="O268" t="n">
        <x:v>1</x:v>
      </x:c>
      <x:c r="P268" t="str">
        <x:v>Diamond II</x:v>
      </x:c>
      <x:c r="Q268" t="n">
        <x:v>4307</x:v>
      </x:c>
      <x:c r="R268" s="14" t="n">
        <x:v>27</x:v>
      </x:c>
      <x:c r="S268" t="n">
        <x:v>17</x:v>
      </x:c>
      <x:c r="T268" t="n">
        <x:v>4</x:v>
      </x:c>
      <x:c r="U268" t="n">
        <x:v>11</x:v>
      </x:c>
      <x:c r="V268" s="16" t="n">
        <x:v>7</x:v>
      </x:c>
      <x:c r="W268" t="str">
        <x:v>Parsed from Tracker.gg MHTML/PDF export; competitive rows only.</x:v>
      </x:c>
      <x:c r="X268" t="n">
        <x:f>IF(L268="Win",1,0)</x:f>
        <x:v>1</x:v>
      </x:c>
      <x:c r="Y268" s="14" t="n">
        <x:f>IF(L268="Loss",1,0)</x:f>
        <x:v>0</x:v>
      </x:c>
      <x:c r="Z268" t="n">
        <x:f>IF(L268="Draw/Unknown",1,0)</x:f>
        <x:v>0</x:v>
      </x:c>
      <x:c r="AA268" s="16" t="str">
        <x:f>IF(OR(N268="",O268=""),"",N268-O268)</x:f>
      </x:c>
      <x:c r="AB268" s="16" t="n">
        <x:f>IF(T268=0,S268+U268,(S268+U268)/T268)</x:f>
        <x:v>7</x:v>
      </x:c>
      <x:c r="AC268" t="n">
        <x:f>S268+U268</x:f>
        <x:v>28</x:v>
      </x:c>
      <x:c r="AD268" t="n">
        <x:f>IF(T268=0,1,0)</x:f>
        <x:v>0</x:v>
      </x:c>
      <x:c r="AE268" t="str">
        <x:f>IF(R268&gt;0,"Gain",IF(R268&lt;0,"Loss","Neutral"))</x:f>
        <x:v>Gain</x:v>
      </x:c>
    </x:row>
    <x:row r="269">
      <x:c r="A269" t="n">
        <x:v>268</x:v>
      </x:c>
      <x:c r="B269" s="12" t="n">
        <x:v>46109</x:v>
      </x:c>
      <x:c r="C269" t="str">
        <x:v>Mar 28</x:v>
      </x:c>
      <x:c r="D269" t="n">
        <x:v>10</x:v>
      </x:c>
      <x:c r="E269" t="n">
        <x:v>6</x:v>
      </x:c>
      <x:c r="F269" s="14" t="n">
        <x:v>4</x:v>
      </x:c>
      <x:c r="G269" t="str">
        <x:v>2mo ago</x:v>
      </x:c>
      <x:c r="H269" t="str">
        <x:v>Competitive</x:v>
      </x:c>
      <x:c r="I269" t="str">
        <x:v>Convoy</x:v>
      </x:c>
      <x:c r="J269" t="str">
        <x:v>Arakko</x:v>
      </x:c>
      <x:c r="K269" t="str">
        <x:v>The Thing</x:v>
      </x:c>
      <x:c r="L269" t="str">
        <x:v>Win</x:v>
      </x:c>
      <x:c r="M269" t="str"/>
      <x:c r="N269" t="n">
        <x:v>3</x:v>
      </x:c>
      <x:c r="O269" t="n">
        <x:v>2</x:v>
      </x:c>
      <x:c r="P269" t="str">
        <x:v>Diamond III</x:v>
      </x:c>
      <x:c r="Q269" t="n">
        <x:v>4280</x:v>
      </x:c>
      <x:c r="R269" s="14" t="n">
        <x:v>23</x:v>
      </x:c>
      <x:c r="S269" t="n">
        <x:v>33</x:v>
      </x:c>
      <x:c r="T269" t="n">
        <x:v>12</x:v>
      </x:c>
      <x:c r="U269" t="n">
        <x:v>24</x:v>
      </x:c>
      <x:c r="V269" s="16" t="n">
        <x:v>4.75</x:v>
      </x:c>
      <x:c r="W269" t="str">
        <x:v>Parsed from Tracker.gg MHTML/PDF export; competitive rows only.</x:v>
      </x:c>
      <x:c r="X269" t="n">
        <x:f>IF(L269="Win",1,0)</x:f>
        <x:v>1</x:v>
      </x:c>
      <x:c r="Y269" s="14" t="n">
        <x:f>IF(L269="Loss",1,0)</x:f>
        <x:v>0</x:v>
      </x:c>
      <x:c r="Z269" t="n">
        <x:f>IF(L269="Draw/Unknown",1,0)</x:f>
        <x:v>0</x:v>
      </x:c>
      <x:c r="AA269" s="16" t="n">
        <x:f>IF(OR(N269="",O269=""),"",N269-O269)</x:f>
        <x:v>1</x:v>
      </x:c>
      <x:c r="AB269" s="16" t="n">
        <x:f>IF(T269=0,S269+U269,(S269+U269)/T269)</x:f>
        <x:v>4.75</x:v>
      </x:c>
      <x:c r="AC269" t="n">
        <x:f>S269+U269</x:f>
        <x:v>57</x:v>
      </x:c>
      <x:c r="AD269" t="n">
        <x:f>IF(T269=0,1,0)</x:f>
        <x:v>0</x:v>
      </x:c>
      <x:c r="AE269" t="str">
        <x:f>IF(R269&gt;0,"Gain",IF(R269&lt;0,"Loss","Neutral"))</x:f>
        <x:v>Gain</x:v>
      </x:c>
    </x:row>
    <x:row r="270">
      <x:c r="A270" t="n">
        <x:v>269</x:v>
      </x:c>
      <x:c r="B270" s="12" t="n">
        <x:v>46108</x:v>
      </x:c>
      <x:c r="C270" t="str">
        <x:v>Mar 27</x:v>
      </x:c>
      <x:c r="D270" t="n">
        <x:v>27</x:v>
      </x:c>
      <x:c r="E270" t="n">
        <x:v>11</x:v>
      </x:c>
      <x:c r="F270" s="14" t="n">
        <x:v>15</x:v>
      </x:c>
      <x:c r="G270" t="str">
        <x:v>2mo ago</x:v>
      </x:c>
      <x:c r="H270" t="str">
        <x:v>Competitive</x:v>
      </x:c>
      <x:c r="I270" t="str">
        <x:v>Convoy</x:v>
      </x:c>
      <x:c r="J270" t="str">
        <x:v>Yggdrasill Path</x:v>
      </x:c>
      <x:c r="K270" t="str">
        <x:v>Cloak &amp; Dagger</x:v>
      </x:c>
      <x:c r="L270" t="str">
        <x:v>Win</x:v>
      </x:c>
      <x:c r="M270" t="str"/>
      <x:c r="N270" t="n">
        <x:v>0</x:v>
      </x:c>
      <x:c r="O270" t="n">
        <x:v>1</x:v>
      </x:c>
      <x:c r="P270" t="str">
        <x:v>Diamond III</x:v>
      </x:c>
      <x:c r="Q270" t="n">
        <x:v>4256</x:v>
      </x:c>
      <x:c r="R270" s="14" t="n">
        <x:v>24</x:v>
      </x:c>
      <x:c r="S270" t="n">
        <x:v>21</x:v>
      </x:c>
      <x:c r="T270" t="n">
        <x:v>2</x:v>
      </x:c>
      <x:c r="U270" t="n">
        <x:v>31</x:v>
      </x:c>
      <x:c r="V270" s="16" t="n">
        <x:v>26</x:v>
      </x:c>
      <x:c r="W270" t="str">
        <x:v>Parsed from Tracker.gg MHTML/PDF export; competitive rows only.</x:v>
      </x:c>
      <x:c r="X270" t="n">
        <x:f>IF(L270="Win",1,0)</x:f>
        <x:v>1</x:v>
      </x:c>
      <x:c r="Y270" s="14" t="n">
        <x:f>IF(L270="Loss",1,0)</x:f>
        <x:v>0</x:v>
      </x:c>
      <x:c r="Z270" t="n">
        <x:f>IF(L270="Draw/Unknown",1,0)</x:f>
        <x:v>0</x:v>
      </x:c>
      <x:c r="AA270" s="16" t="str">
        <x:f>IF(OR(N270="",O270=""),"",N270-O270)</x:f>
      </x:c>
      <x:c r="AB270" s="16" t="n">
        <x:f>IF(T270=0,S270+U270,(S270+U270)/T270)</x:f>
        <x:v>26</x:v>
      </x:c>
      <x:c r="AC270" t="n">
        <x:f>S270+U270</x:f>
        <x:v>52</x:v>
      </x:c>
      <x:c r="AD270" t="n">
        <x:f>IF(T270=0,1,0)</x:f>
        <x:v>0</x:v>
      </x:c>
      <x:c r="AE270" t="str">
        <x:f>IF(R270&gt;0,"Gain",IF(R270&lt;0,"Loss","Neutral"))</x:f>
        <x:v>Gain</x:v>
      </x:c>
    </x:row>
    <x:row r="271">
      <x:c r="A271" t="n">
        <x:v>270</x:v>
      </x:c>
      <x:c r="B271" s="12" t="n">
        <x:v>46108</x:v>
      </x:c>
      <x:c r="C271" t="str">
        <x:v>Mar 27</x:v>
      </x:c>
      <x:c r="D271" t="n">
        <x:v>27</x:v>
      </x:c>
      <x:c r="E271" t="n">
        <x:v>11</x:v>
      </x:c>
      <x:c r="F271" s="14" t="n">
        <x:v>15</x:v>
      </x:c>
      <x:c r="G271" t="str">
        <x:v>2mo ago</x:v>
      </x:c>
      <x:c r="H271" t="str">
        <x:v>Competitive</x:v>
      </x:c>
      <x:c r="I271" t="str">
        <x:v>Convoy</x:v>
      </x:c>
      <x:c r="J271" t="str">
        <x:v>Museum of Contemplation</x:v>
      </x:c>
      <x:c r="K271" t="str">
        <x:v>Winter Soldier</x:v>
      </x:c>
      <x:c r="L271" t="str">
        <x:v>Loss</x:v>
      </x:c>
      <x:c r="M271" t="str"/>
      <x:c r="N271" t="n">
        <x:v>2</x:v>
      </x:c>
      <x:c r="O271" t="n">
        <x:v>1</x:v>
      </x:c>
      <x:c r="P271" t="str">
        <x:v>Diamond III</x:v>
      </x:c>
      <x:c r="Q271" t="n">
        <x:v>4231</x:v>
      </x:c>
      <x:c r="R271" s="14" t="n">
        <x:v>-20</x:v>
      </x:c>
      <x:c r="S271" t="n">
        <x:v>26</x:v>
      </x:c>
      <x:c r="T271" t="n">
        <x:v>12</x:v>
      </x:c>
      <x:c r="U271" t="n">
        <x:v>6</x:v>
      </x:c>
      <x:c r="V271" s="16" t="n">
        <x:v>2.67</x:v>
      </x:c>
      <x:c r="W271" t="str">
        <x:v>Parsed from Tracker.gg MHTML/PDF export; competitive rows only.</x:v>
      </x:c>
      <x:c r="X271" t="n">
        <x:f>IF(L271="Win",1,0)</x:f>
        <x:v>0</x:v>
      </x:c>
      <x:c r="Y271" s="14" t="n">
        <x:f>IF(L271="Loss",1,0)</x:f>
        <x:v>1</x:v>
      </x:c>
      <x:c r="Z271" t="n">
        <x:f>IF(L271="Draw/Unknown",1,0)</x:f>
        <x:v>0</x:v>
      </x:c>
      <x:c r="AA271" s="16" t="n">
        <x:f>IF(OR(N271="",O271=""),"",N271-O271)</x:f>
        <x:v>1</x:v>
      </x:c>
      <x:c r="AB271" s="16" t="n">
        <x:f>IF(T271=0,S271+U271,(S271+U271)/T271)</x:f>
        <x:v>2.6666666666666665</x:v>
      </x:c>
      <x:c r="AC271" t="n">
        <x:f>S271+U271</x:f>
        <x:v>32</x:v>
      </x:c>
      <x:c r="AD271" t="n">
        <x:f>IF(T271=0,1,0)</x:f>
        <x:v>0</x:v>
      </x:c>
      <x:c r="AE271" t="str">
        <x:f>IF(R271&gt;0,"Gain",IF(R271&lt;0,"Loss","Neutral"))</x:f>
        <x:v>Loss</x:v>
      </x:c>
    </x:row>
    <x:row r="272">
      <x:c r="A272" t="n">
        <x:v>271</x:v>
      </x:c>
      <x:c r="B272" s="12" t="n">
        <x:v>46108</x:v>
      </x:c>
      <x:c r="C272" t="str">
        <x:v>Mar 27</x:v>
      </x:c>
      <x:c r="D272" t="n">
        <x:v>27</x:v>
      </x:c>
      <x:c r="E272" t="n">
        <x:v>11</x:v>
      </x:c>
      <x:c r="F272" s="14" t="n">
        <x:v>15</x:v>
      </x:c>
      <x:c r="G272" t="str">
        <x:v>2mo ago</x:v>
      </x:c>
      <x:c r="H272" t="str">
        <x:v>Competitive</x:v>
      </x:c>
      <x:c r="I272" t="str">
        <x:v>Domination</x:v>
      </x:c>
      <x:c r="J272" t="str">
        <x:v>Krakoa</x:v>
      </x:c>
      <x:c r="K272" t="str">
        <x:v>Squirrel Girl</x:v>
      </x:c>
      <x:c r="L272" t="str">
        <x:v>Loss</x:v>
      </x:c>
      <x:c r="M272" t="str"/>
      <x:c r="N272" t="n">
        <x:v>2</x:v>
      </x:c>
      <x:c r="O272" t="n">
        <x:v>1</x:v>
      </x:c>
      <x:c r="P272" t="str">
        <x:v>Diamond III</x:v>
      </x:c>
      <x:c r="Q272" t="n">
        <x:v>4250</x:v>
      </x:c>
      <x:c r="R272" s="14" t="n">
        <x:v>-24</x:v>
      </x:c>
      <x:c r="S272" t="n">
        <x:v>16</x:v>
      </x:c>
      <x:c r="T272" t="n">
        <x:v>10</x:v>
      </x:c>
      <x:c r="U272" t="n">
        <x:v>3</x:v>
      </x:c>
      <x:c r="V272" s="16" t="n">
        <x:v>1.9</x:v>
      </x:c>
      <x:c r="W272" t="str">
        <x:v>Parsed from Tracker.gg MHTML/PDF export; competitive rows only.</x:v>
      </x:c>
      <x:c r="X272" t="n">
        <x:f>IF(L272="Win",1,0)</x:f>
        <x:v>0</x:v>
      </x:c>
      <x:c r="Y272" s="14" t="n">
        <x:f>IF(L272="Loss",1,0)</x:f>
        <x:v>1</x:v>
      </x:c>
      <x:c r="Z272" t="n">
        <x:f>IF(L272="Draw/Unknown",1,0)</x:f>
        <x:v>0</x:v>
      </x:c>
      <x:c r="AA272" s="16" t="n">
        <x:f>IF(OR(N272="",O272=""),"",N272-O272)</x:f>
        <x:v>1</x:v>
      </x:c>
      <x:c r="AB272" s="16" t="n">
        <x:f>IF(T272=0,S272+U272,(S272+U272)/T272)</x:f>
        <x:v>1.9</x:v>
      </x:c>
      <x:c r="AC272" t="n">
        <x:f>S272+U272</x:f>
        <x:v>19</x:v>
      </x:c>
      <x:c r="AD272" t="n">
        <x:f>IF(T272=0,1,0)</x:f>
        <x:v>0</x:v>
      </x:c>
      <x:c r="AE272" t="str">
        <x:f>IF(R272&gt;0,"Gain",IF(R272&lt;0,"Loss","Neutral"))</x:f>
        <x:v>Loss</x:v>
      </x:c>
    </x:row>
    <x:row r="273">
      <x:c r="A273" t="n">
        <x:v>272</x:v>
      </x:c>
      <x:c r="B273" s="12" t="n">
        <x:v>46108</x:v>
      </x:c>
      <x:c r="C273" t="str">
        <x:v>Mar 27</x:v>
      </x:c>
      <x:c r="D273" t="n">
        <x:v>27</x:v>
      </x:c>
      <x:c r="E273" t="n">
        <x:v>11</x:v>
      </x:c>
      <x:c r="F273" s="14" t="n">
        <x:v>15</x:v>
      </x:c>
      <x:c r="G273" t="str">
        <x:v>2mo ago</x:v>
      </x:c>
      <x:c r="H273" t="str">
        <x:v>Competitive</x:v>
      </x:c>
      <x:c r="I273" t="str">
        <x:v>Convoy</x:v>
      </x:c>
      <x:c r="J273" t="str">
        <x:v>Midtown</x:v>
      </x:c>
      <x:c r="K273" t="str">
        <x:v>The Thing</x:v>
      </x:c>
      <x:c r="L273" t="str">
        <x:v>Loss</x:v>
      </x:c>
      <x:c r="M273" t="str"/>
      <x:c r="N273" t="n">
        <x:v>0</x:v>
      </x:c>
      <x:c r="O273" t="n">
        <x:v>1</x:v>
      </x:c>
      <x:c r="P273" t="str">
        <x:v>Diamond II</x:v>
      </x:c>
      <x:c r="Q273" t="n">
        <x:v>4274</x:v>
      </x:c>
      <x:c r="R273" s="14" t="n">
        <x:v>-22</x:v>
      </x:c>
      <x:c r="S273" t="n">
        <x:v>4</x:v>
      </x:c>
      <x:c r="T273" t="n">
        <x:v>5</x:v>
      </x:c>
      <x:c r="U273" t="n">
        <x:v>1</x:v>
      </x:c>
      <x:c r="V273" s="16" t="n">
        <x:v>1</x:v>
      </x:c>
      <x:c r="W273" t="str">
        <x:v>Parsed from Tracker.gg MHTML/PDF export; competitive rows only.</x:v>
      </x:c>
      <x:c r="X273" t="n">
        <x:f>IF(L273="Win",1,0)</x:f>
        <x:v>0</x:v>
      </x:c>
      <x:c r="Y273" s="14" t="n">
        <x:f>IF(L273="Loss",1,0)</x:f>
        <x:v>1</x:v>
      </x:c>
      <x:c r="Z273" t="n">
        <x:f>IF(L273="Draw/Unknown",1,0)</x:f>
        <x:v>0</x:v>
      </x:c>
      <x:c r="AA273" s="16" t="str">
        <x:f>IF(OR(N273="",O273=""),"",N273-O273)</x:f>
      </x:c>
      <x:c r="AB273" s="16" t="n">
        <x:f>IF(T273=0,S273+U273,(S273+U273)/T273)</x:f>
        <x:v>1</x:v>
      </x:c>
      <x:c r="AC273" t="n">
        <x:f>S273+U273</x:f>
        <x:v>5</x:v>
      </x:c>
      <x:c r="AD273" t="n">
        <x:f>IF(T273=0,1,0)</x:f>
        <x:v>0</x:v>
      </x:c>
      <x:c r="AE273" t="str">
        <x:f>IF(R273&gt;0,"Gain",IF(R273&lt;0,"Loss","Neutral"))</x:f>
        <x:v>Loss</x:v>
      </x:c>
    </x:row>
    <x:row r="274">
      <x:c r="A274" t="n">
        <x:v>273</x:v>
      </x:c>
      <x:c r="B274" s="12" t="n">
        <x:v>46108</x:v>
      </x:c>
      <x:c r="C274" t="str">
        <x:v>Mar 27</x:v>
      </x:c>
      <x:c r="D274" t="n">
        <x:v>27</x:v>
      </x:c>
      <x:c r="E274" t="n">
        <x:v>11</x:v>
      </x:c>
      <x:c r="F274" s="14" t="n">
        <x:v>15</x:v>
      </x:c>
      <x:c r="G274" t="str">
        <x:v>2mo ago</x:v>
      </x:c>
      <x:c r="H274" t="str">
        <x:v>Competitive</x:v>
      </x:c>
      <x:c r="I274" t="str">
        <x:v>Domination</x:v>
      </x:c>
      <x:c r="J274" t="str">
        <x:v>Celestial Husk</x:v>
      </x:c>
      <x:c r="K274" t="str">
        <x:v>Rogue</x:v>
      </x:c>
      <x:c r="L274" t="str">
        <x:v>Loss</x:v>
      </x:c>
      <x:c r="M274" t="str"/>
      <x:c r="N274" t="n">
        <x:v>2</x:v>
      </x:c>
      <x:c r="O274" t="n">
        <x:v>0</x:v>
      </x:c>
      <x:c r="P274" t="str">
        <x:v>Diamond II</x:v>
      </x:c>
      <x:c r="Q274" t="n">
        <x:v>4296</x:v>
      </x:c>
      <x:c r="R274" s="14" t="n">
        <x:v>-22</x:v>
      </x:c>
      <x:c r="S274" t="n">
        <x:v>6</x:v>
      </x:c>
      <x:c r="T274" t="n">
        <x:v>7</x:v>
      </x:c>
      <x:c r="U274" t="n">
        <x:v>0</x:v>
      </x:c>
      <x:c r="V274" s="16" t="n">
        <x:v>0.86</x:v>
      </x:c>
      <x:c r="W274" t="str">
        <x:v>Parsed from Tracker.gg MHTML/PDF export; competitive rows only.</x:v>
      </x:c>
      <x:c r="X274" t="n">
        <x:f>IF(L274="Win",1,0)</x:f>
        <x:v>0</x:v>
      </x:c>
      <x:c r="Y274" s="14" t="n">
        <x:f>IF(L274="Loss",1,0)</x:f>
        <x:v>1</x:v>
      </x:c>
      <x:c r="Z274" t="n">
        <x:f>IF(L274="Draw/Unknown",1,0)</x:f>
        <x:v>0</x:v>
      </x:c>
      <x:c r="AA274" s="16" t="str">
        <x:f>IF(OR(N274="",O274=""),"",N274-O274)</x:f>
      </x:c>
      <x:c r="AB274" s="16" t="n">
        <x:f>IF(T274=0,S274+U274,(S274+U274)/T274)</x:f>
        <x:v>0.8571428571428571</x:v>
      </x:c>
      <x:c r="AC274" t="n">
        <x:f>S274+U274</x:f>
        <x:v>6</x:v>
      </x:c>
      <x:c r="AD274" t="n">
        <x:f>IF(T274=0,1,0)</x:f>
        <x:v>0</x:v>
      </x:c>
      <x:c r="AE274" t="str">
        <x:f>IF(R274&gt;0,"Gain",IF(R274&lt;0,"Loss","Neutral"))</x:f>
        <x:v>Loss</x:v>
      </x:c>
    </x:row>
    <x:row r="275">
      <x:c r="A275" t="n">
        <x:v>274</x:v>
      </x:c>
      <x:c r="B275" s="12" t="n">
        <x:v>46108</x:v>
      </x:c>
      <x:c r="C275" t="str">
        <x:v>Mar 27</x:v>
      </x:c>
      <x:c r="D275" t="n">
        <x:v>27</x:v>
      </x:c>
      <x:c r="E275" t="n">
        <x:v>11</x:v>
      </x:c>
      <x:c r="F275" s="14" t="n">
        <x:v>15</x:v>
      </x:c>
      <x:c r="G275" t="str">
        <x:v>2mo ago</x:v>
      </x:c>
      <x:c r="H275" t="str">
        <x:v>Competitive</x:v>
      </x:c>
      <x:c r="I275" t="str">
        <x:v>Convoy</x:v>
      </x:c>
      <x:c r="J275" t="str">
        <x:v>Arakko</x:v>
      </x:c>
      <x:c r="K275" t="str">
        <x:v>The Thing</x:v>
      </x:c>
      <x:c r="L275" t="str">
        <x:v>Loss</x:v>
      </x:c>
      <x:c r="M275" t="str"/>
      <x:c r="N275" t="n">
        <x:v>1</x:v>
      </x:c>
      <x:c r="O275" t="n">
        <x:v>2</x:v>
      </x:c>
      <x:c r="P275" t="str">
        <x:v>Diamond II</x:v>
      </x:c>
      <x:c r="Q275" t="n">
        <x:v>4317</x:v>
      </x:c>
      <x:c r="R275" s="14" t="n">
        <x:v>-21</x:v>
      </x:c>
      <x:c r="S275" t="n">
        <x:v>15</x:v>
      </x:c>
      <x:c r="T275" t="n">
        <x:v>15</x:v>
      </x:c>
      <x:c r="U275" t="n">
        <x:v>5</x:v>
      </x:c>
      <x:c r="V275" s="16" t="n">
        <x:v>1.33</x:v>
      </x:c>
      <x:c r="W275" t="str">
        <x:v>Parsed from Tracker.gg MHTML/PDF export; competitive rows only.</x:v>
      </x:c>
      <x:c r="X275" t="n">
        <x:f>IF(L275="Win",1,0)</x:f>
        <x:v>0</x:v>
      </x:c>
      <x:c r="Y275" s="14" t="n">
        <x:f>IF(L275="Loss",1,0)</x:f>
        <x:v>1</x:v>
      </x:c>
      <x:c r="Z275" t="n">
        <x:f>IF(L275="Draw/Unknown",1,0)</x:f>
        <x:v>0</x:v>
      </x:c>
      <x:c r="AA275" s="16" t="n">
        <x:f>IF(OR(N275="",O275=""),"",N275-O275)</x:f>
        <x:v>-1</x:v>
      </x:c>
      <x:c r="AB275" s="16" t="n">
        <x:f>IF(T275=0,S275+U275,(S275+U275)/T275)</x:f>
        <x:v>1.3333333333333333</x:v>
      </x:c>
      <x:c r="AC275" t="n">
        <x:f>S275+U275</x:f>
        <x:v>20</x:v>
      </x:c>
      <x:c r="AD275" t="n">
        <x:f>IF(T275=0,1,0)</x:f>
        <x:v>0</x:v>
      </x:c>
      <x:c r="AE275" t="str">
        <x:f>IF(R275&gt;0,"Gain",IF(R275&lt;0,"Loss","Neutral"))</x:f>
        <x:v>Loss</x:v>
      </x:c>
    </x:row>
    <x:row r="276">
      <x:c r="A276" t="n">
        <x:v>275</x:v>
      </x:c>
      <x:c r="B276" s="12" t="n">
        <x:v>46108</x:v>
      </x:c>
      <x:c r="C276" t="str">
        <x:v>Mar 27</x:v>
      </x:c>
      <x:c r="D276" t="n">
        <x:v>27</x:v>
      </x:c>
      <x:c r="E276" t="n">
        <x:v>11</x:v>
      </x:c>
      <x:c r="F276" s="14" t="n">
        <x:v>15</x:v>
      </x:c>
      <x:c r="G276" t="str">
        <x:v>2mo ago</x:v>
      </x:c>
      <x:c r="H276" t="str">
        <x:v>Competitive</x:v>
      </x:c>
      <x:c r="I276" t="str">
        <x:v>Convergence</x:v>
      </x:c>
      <x:c r="J276" t="str">
        <x:v>Shin-Shibuya</x:v>
      </x:c>
      <x:c r="K276" t="str">
        <x:v>The Thing</x:v>
      </x:c>
      <x:c r="L276" t="str">
        <x:v>Loss</x:v>
      </x:c>
      <x:c r="M276" t="str">
        <x:v>SVP</x:v>
      </x:c>
      <x:c r="N276" t="n">
        <x:v>2</x:v>
      </x:c>
      <x:c r="O276" t="n">
        <x:v>0</x:v>
      </x:c>
      <x:c r="P276" t="str">
        <x:v>Diamond II</x:v>
      </x:c>
      <x:c r="Q276" t="n">
        <x:v>4338</x:v>
      </x:c>
      <x:c r="R276" s="14" t="n">
        <x:v>-18</x:v>
      </x:c>
      <x:c r="S276" t="n">
        <x:v>17</x:v>
      </x:c>
      <x:c r="T276" t="n">
        <x:v>14</x:v>
      </x:c>
      <x:c r="U276" t="n">
        <x:v>9</x:v>
      </x:c>
      <x:c r="V276" s="16" t="n">
        <x:v>1.86</x:v>
      </x:c>
      <x:c r="W276" t="str">
        <x:v>Parsed from Tracker.gg MHTML/PDF export; competitive rows only.</x:v>
      </x:c>
      <x:c r="X276" t="n">
        <x:f>IF(L276="Win",1,0)</x:f>
        <x:v>0</x:v>
      </x:c>
      <x:c r="Y276" s="14" t="n">
        <x:f>IF(L276="Loss",1,0)</x:f>
        <x:v>1</x:v>
      </x:c>
      <x:c r="Z276" t="n">
        <x:f>IF(L276="Draw/Unknown",1,0)</x:f>
        <x:v>0</x:v>
      </x:c>
      <x:c r="AA276" s="16" t="str">
        <x:f>IF(OR(N276="",O276=""),"",N276-O276)</x:f>
      </x:c>
      <x:c r="AB276" s="16" t="n">
        <x:f>IF(T276=0,S276+U276,(S276+U276)/T276)</x:f>
        <x:v>1.8571428571428572</x:v>
      </x:c>
      <x:c r="AC276" t="n">
        <x:f>S276+U276</x:f>
        <x:v>26</x:v>
      </x:c>
      <x:c r="AD276" t="n">
        <x:f>IF(T276=0,1,0)</x:f>
        <x:v>0</x:v>
      </x:c>
      <x:c r="AE276" t="str">
        <x:f>IF(R276&gt;0,"Gain",IF(R276&lt;0,"Loss","Neutral"))</x:f>
        <x:v>Loss</x:v>
      </x:c>
    </x:row>
    <x:row r="277">
      <x:c r="A277" t="n">
        <x:v>276</x:v>
      </x:c>
      <x:c r="B277" s="12" t="n">
        <x:v>46108</x:v>
      </x:c>
      <x:c r="C277" t="str">
        <x:v>Mar 27</x:v>
      </x:c>
      <x:c r="D277" t="n">
        <x:v>27</x:v>
      </x:c>
      <x:c r="E277" t="n">
        <x:v>11</x:v>
      </x:c>
      <x:c r="F277" s="14" t="n">
        <x:v>15</x:v>
      </x:c>
      <x:c r="G277" t="str">
        <x:v>2mo ago</x:v>
      </x:c>
      <x:c r="H277" t="str">
        <x:v>Competitive</x:v>
      </x:c>
      <x:c r="I277" t="str">
        <x:v>Domination</x:v>
      </x:c>
      <x:c r="J277" t="str">
        <x:v>Hell's Heaven</x:v>
      </x:c>
      <x:c r="K277" t="str">
        <x:v>The Thing</x:v>
      </x:c>
      <x:c r="L277" t="str">
        <x:v>Win</x:v>
      </x:c>
      <x:c r="M277" t="str"/>
      <x:c r="N277" t="n">
        <x:v>2</x:v>
      </x:c>
      <x:c r="O277" t="n">
        <x:v>1</x:v>
      </x:c>
      <x:c r="P277" t="str">
        <x:v>Diamond II</x:v>
      </x:c>
      <x:c r="Q277" t="n">
        <x:v>4355</x:v>
      </x:c>
      <x:c r="R277" s="14" t="n">
        <x:v>24</x:v>
      </x:c>
      <x:c r="S277" t="n">
        <x:v>33</x:v>
      </x:c>
      <x:c r="T277" t="n">
        <x:v>7</x:v>
      </x:c>
      <x:c r="U277" t="n">
        <x:v>11</x:v>
      </x:c>
      <x:c r="V277" s="16" t="n">
        <x:v>6.29</x:v>
      </x:c>
      <x:c r="W277" t="str">
        <x:v>Parsed from Tracker.gg MHTML/PDF export; competitive rows only.</x:v>
      </x:c>
      <x:c r="X277" t="n">
        <x:f>IF(L277="Win",1,0)</x:f>
        <x:v>1</x:v>
      </x:c>
      <x:c r="Y277" s="14" t="n">
        <x:f>IF(L277="Loss",1,0)</x:f>
        <x:v>0</x:v>
      </x:c>
      <x:c r="Z277" t="n">
        <x:f>IF(L277="Draw/Unknown",1,0)</x:f>
        <x:v>0</x:v>
      </x:c>
      <x:c r="AA277" s="16" t="n">
        <x:f>IF(OR(N277="",O277=""),"",N277-O277)</x:f>
        <x:v>1</x:v>
      </x:c>
      <x:c r="AB277" s="16" t="n">
        <x:f>IF(T277=0,S277+U277,(S277+U277)/T277)</x:f>
        <x:v>6.285714285714286</x:v>
      </x:c>
      <x:c r="AC277" t="n">
        <x:f>S277+U277</x:f>
        <x:v>44</x:v>
      </x:c>
      <x:c r="AD277" t="n">
        <x:f>IF(T277=0,1,0)</x:f>
        <x:v>0</x:v>
      </x:c>
      <x:c r="AE277" t="str">
        <x:f>IF(R277&gt;0,"Gain",IF(R277&lt;0,"Loss","Neutral"))</x:f>
        <x:v>Gain</x:v>
      </x:c>
    </x:row>
    <x:row r="278">
      <x:c r="A278" t="n">
        <x:v>277</x:v>
      </x:c>
      <x:c r="B278" s="12" t="n">
        <x:v>46108</x:v>
      </x:c>
      <x:c r="C278" t="str">
        <x:v>Mar 27</x:v>
      </x:c>
      <x:c r="D278" t="n">
        <x:v>27</x:v>
      </x:c>
      <x:c r="E278" t="n">
        <x:v>11</x:v>
      </x:c>
      <x:c r="F278" s="14" t="n">
        <x:v>15</x:v>
      </x:c>
      <x:c r="G278" t="str">
        <x:v>2mo ago</x:v>
      </x:c>
      <x:c r="H278" t="str">
        <x:v>Competitive</x:v>
      </x:c>
      <x:c r="I278" t="str">
        <x:v>Convoy</x:v>
      </x:c>
      <x:c r="J278" t="str">
        <x:v>Yggdrasill Path</x:v>
      </x:c>
      <x:c r="K278" t="str">
        <x:v>The Thing</x:v>
      </x:c>
      <x:c r="L278" t="str">
        <x:v>Loss</x:v>
      </x:c>
      <x:c r="M278" t="str"/>
      <x:c r="N278" t="n">
        <x:v>3</x:v>
      </x:c>
      <x:c r="O278" t="n">
        <x:v>1</x:v>
      </x:c>
      <x:c r="P278" t="str">
        <x:v>Diamond II</x:v>
      </x:c>
      <x:c r="Q278" t="n">
        <x:v>4331</x:v>
      </x:c>
      <x:c r="R278" s="14" t="n">
        <x:v>-20</x:v>
      </x:c>
      <x:c r="S278" t="n">
        <x:v>15</x:v>
      </x:c>
      <x:c r="T278" t="n">
        <x:v>19</x:v>
      </x:c>
      <x:c r="U278" t="n">
        <x:v>14</x:v>
      </x:c>
      <x:c r="V278" s="16" t="n">
        <x:v>1.53</x:v>
      </x:c>
      <x:c r="W278" t="str">
        <x:v>Parsed from Tracker.gg MHTML/PDF export; competitive rows only.</x:v>
      </x:c>
      <x:c r="X278" t="n">
        <x:f>IF(L278="Win",1,0)</x:f>
        <x:v>0</x:v>
      </x:c>
      <x:c r="Y278" s="14" t="n">
        <x:f>IF(L278="Loss",1,0)</x:f>
        <x:v>1</x:v>
      </x:c>
      <x:c r="Z278" t="n">
        <x:f>IF(L278="Draw/Unknown",1,0)</x:f>
        <x:v>0</x:v>
      </x:c>
      <x:c r="AA278" s="16" t="n">
        <x:f>IF(OR(N278="",O278=""),"",N278-O278)</x:f>
        <x:v>2</x:v>
      </x:c>
      <x:c r="AB278" s="16" t="n">
        <x:f>IF(T278=0,S278+U278,(S278+U278)/T278)</x:f>
        <x:v>1.5263157894736843</x:v>
      </x:c>
      <x:c r="AC278" t="n">
        <x:f>S278+U278</x:f>
        <x:v>29</x:v>
      </x:c>
      <x:c r="AD278" t="n">
        <x:f>IF(T278=0,1,0)</x:f>
        <x:v>0</x:v>
      </x:c>
      <x:c r="AE278" t="str">
        <x:f>IF(R278&gt;0,"Gain",IF(R278&lt;0,"Loss","Neutral"))</x:f>
        <x:v>Loss</x:v>
      </x:c>
    </x:row>
    <x:row r="279">
      <x:c r="A279" t="n">
        <x:v>278</x:v>
      </x:c>
      <x:c r="B279" s="12" t="n">
        <x:v>46108</x:v>
      </x:c>
      <x:c r="C279" t="str">
        <x:v>Mar 27</x:v>
      </x:c>
      <x:c r="D279" t="n">
        <x:v>27</x:v>
      </x:c>
      <x:c r="E279" t="n">
        <x:v>11</x:v>
      </x:c>
      <x:c r="F279" s="14" t="n">
        <x:v>15</x:v>
      </x:c>
      <x:c r="G279" t="str">
        <x:v>2mo ago</x:v>
      </x:c>
      <x:c r="H279" t="str">
        <x:v>Competitive</x:v>
      </x:c>
      <x:c r="I279" t="str">
        <x:v>Convergence</x:v>
      </x:c>
      <x:c r="J279" t="str">
        <x:v>Central Park</x:v>
      </x:c>
      <x:c r="K279" t="str">
        <x:v>The Thing</x:v>
      </x:c>
      <x:c r="L279" t="str">
        <x:v>Win</x:v>
      </x:c>
      <x:c r="M279" t="str"/>
      <x:c r="N279" t="n">
        <x:v>1</x:v>
      </x:c>
      <x:c r="O279" t="n">
        <x:v>2</x:v>
      </x:c>
      <x:c r="P279" t="str">
        <x:v>Diamond II</x:v>
      </x:c>
      <x:c r="Q279" t="n">
        <x:v>4351</x:v>
      </x:c>
      <x:c r="R279" s="14" t="n">
        <x:v>22</x:v>
      </x:c>
      <x:c r="S279" t="n">
        <x:v>18</x:v>
      </x:c>
      <x:c r="T279" t="n">
        <x:v>8</x:v>
      </x:c>
      <x:c r="U279" t="n">
        <x:v>11</x:v>
      </x:c>
      <x:c r="V279" s="16" t="n">
        <x:v>3.62</x:v>
      </x:c>
      <x:c r="W279" t="str">
        <x:v>Parsed from Tracker.gg MHTML/PDF export; competitive rows only.</x:v>
      </x:c>
      <x:c r="X279" t="n">
        <x:f>IF(L279="Win",1,0)</x:f>
        <x:v>1</x:v>
      </x:c>
      <x:c r="Y279" s="14" t="n">
        <x:f>IF(L279="Loss",1,0)</x:f>
        <x:v>0</x:v>
      </x:c>
      <x:c r="Z279" t="n">
        <x:f>IF(L279="Draw/Unknown",1,0)</x:f>
        <x:v>0</x:v>
      </x:c>
      <x:c r="AA279" s="16" t="n">
        <x:f>IF(OR(N279="",O279=""),"",N279-O279)</x:f>
        <x:v>-1</x:v>
      </x:c>
      <x:c r="AB279" s="16" t="n">
        <x:f>IF(T279=0,S279+U279,(S279+U279)/T279)</x:f>
        <x:v>3.625</x:v>
      </x:c>
      <x:c r="AC279" t="n">
        <x:f>S279+U279</x:f>
        <x:v>29</x:v>
      </x:c>
      <x:c r="AD279" t="n">
        <x:f>IF(T279=0,1,0)</x:f>
        <x:v>0</x:v>
      </x:c>
      <x:c r="AE279" t="str">
        <x:f>IF(R279&gt;0,"Gain",IF(R279&lt;0,"Loss","Neutral"))</x:f>
        <x:v>Gain</x:v>
      </x:c>
    </x:row>
    <x:row r="280">
      <x:c r="A280" t="n">
        <x:v>279</x:v>
      </x:c>
      <x:c r="B280" s="12" t="n">
        <x:v>46108</x:v>
      </x:c>
      <x:c r="C280" t="str">
        <x:v>Mar 27</x:v>
      </x:c>
      <x:c r="D280" t="n">
        <x:v>27</x:v>
      </x:c>
      <x:c r="E280" t="n">
        <x:v>11</x:v>
      </x:c>
      <x:c r="F280" s="14" t="n">
        <x:v>15</x:v>
      </x:c>
      <x:c r="G280" t="str">
        <x:v>2mo ago</x:v>
      </x:c>
      <x:c r="H280" t="str">
        <x:v>Competitive</x:v>
      </x:c>
      <x:c r="I280" t="str">
        <x:v>Convoy</x:v>
      </x:c>
      <x:c r="J280" t="str">
        <x:v>Spider-Islands</x:v>
      </x:c>
      <x:c r="K280" t="str">
        <x:v>The Thing</x:v>
      </x:c>
      <x:c r="L280" t="str">
        <x:v>Win</x:v>
      </x:c>
      <x:c r="M280" t="str"/>
      <x:c r="N280" t="n">
        <x:v>0</x:v>
      </x:c>
      <x:c r="O280" t="n">
        <x:v>1</x:v>
      </x:c>
      <x:c r="P280" t="str">
        <x:v>Diamond II</x:v>
      </x:c>
      <x:c r="Q280" t="n">
        <x:v>4329</x:v>
      </x:c>
      <x:c r="R280" s="14" t="n">
        <x:v>24</x:v>
      </x:c>
      <x:c r="S280" t="n">
        <x:v>16</x:v>
      </x:c>
      <x:c r="T280" t="n">
        <x:v>3</x:v>
      </x:c>
      <x:c r="U280" t="n">
        <x:v>5</x:v>
      </x:c>
      <x:c r="V280" s="16" t="n">
        <x:v>7</x:v>
      </x:c>
      <x:c r="W280" t="str">
        <x:v>Parsed from Tracker.gg MHTML/PDF export; competitive rows only.</x:v>
      </x:c>
      <x:c r="X280" t="n">
        <x:f>IF(L280="Win",1,0)</x:f>
        <x:v>1</x:v>
      </x:c>
      <x:c r="Y280" s="14" t="n">
        <x:f>IF(L280="Loss",1,0)</x:f>
        <x:v>0</x:v>
      </x:c>
      <x:c r="Z280" t="n">
        <x:f>IF(L280="Draw/Unknown",1,0)</x:f>
        <x:v>0</x:v>
      </x:c>
      <x:c r="AA280" s="16" t="str">
        <x:f>IF(OR(N280="",O280=""),"",N280-O280)</x:f>
      </x:c>
      <x:c r="AB280" s="16" t="n">
        <x:f>IF(T280=0,S280+U280,(S280+U280)/T280)</x:f>
        <x:v>7</x:v>
      </x:c>
      <x:c r="AC280" t="n">
        <x:f>S280+U280</x:f>
        <x:v>21</x:v>
      </x:c>
      <x:c r="AD280" t="n">
        <x:f>IF(T280=0,1,0)</x:f>
        <x:v>0</x:v>
      </x:c>
      <x:c r="AE280" t="str">
        <x:f>IF(R280&gt;0,"Gain",IF(R280&lt;0,"Loss","Neutral"))</x:f>
        <x:v>Gain</x:v>
      </x:c>
    </x:row>
    <x:row r="281">
      <x:c r="A281" t="n">
        <x:v>280</x:v>
      </x:c>
      <x:c r="B281" s="12" t="n">
        <x:v>46108</x:v>
      </x:c>
      <x:c r="C281" t="str">
        <x:v>Mar 27</x:v>
      </x:c>
      <x:c r="D281" t="n">
        <x:v>27</x:v>
      </x:c>
      <x:c r="E281" t="n">
        <x:v>11</x:v>
      </x:c>
      <x:c r="F281" s="14" t="n">
        <x:v>15</x:v>
      </x:c>
      <x:c r="G281" t="str">
        <x:v>2mo ago</x:v>
      </x:c>
      <x:c r="H281" t="str">
        <x:v>Competitive</x:v>
      </x:c>
      <x:c r="I281" t="str">
        <x:v>Convergence</x:v>
      </x:c>
      <x:c r="J281" t="str">
        <x:v>Symbiotic Surface</x:v>
      </x:c>
      <x:c r="K281" t="str">
        <x:v>The Thing</x:v>
      </x:c>
      <x:c r="L281" t="str">
        <x:v>Win</x:v>
      </x:c>
      <x:c r="M281" t="str"/>
      <x:c r="N281" t="n">
        <x:v>3</x:v>
      </x:c>
      <x:c r="O281" t="n">
        <x:v>0</x:v>
      </x:c>
      <x:c r="P281" t="str">
        <x:v>Diamond II</x:v>
      </x:c>
      <x:c r="Q281" t="n">
        <x:v>4304</x:v>
      </x:c>
      <x:c r="R281" s="14" t="n">
        <x:v>24</x:v>
      </x:c>
      <x:c r="S281" t="n">
        <x:v>34</x:v>
      </x:c>
      <x:c r="T281" t="n">
        <x:v>7</x:v>
      </x:c>
      <x:c r="U281" t="n">
        <x:v>19</x:v>
      </x:c>
      <x:c r="V281" s="16" t="n">
        <x:v>7.57</x:v>
      </x:c>
      <x:c r="W281" t="str">
        <x:v>Parsed from Tracker.gg MHTML/PDF export; competitive rows only.</x:v>
      </x:c>
      <x:c r="X281" t="n">
        <x:f>IF(L281="Win",1,0)</x:f>
        <x:v>1</x:v>
      </x:c>
      <x:c r="Y281" s="14" t="n">
        <x:f>IF(L281="Loss",1,0)</x:f>
        <x:v>0</x:v>
      </x:c>
      <x:c r="Z281" t="n">
        <x:f>IF(L281="Draw/Unknown",1,0)</x:f>
        <x:v>0</x:v>
      </x:c>
      <x:c r="AA281" s="16" t="str">
        <x:f>IF(OR(N281="",O281=""),"",N281-O281)</x:f>
      </x:c>
      <x:c r="AB281" s="16" t="n">
        <x:f>IF(T281=0,S281+U281,(S281+U281)/T281)</x:f>
        <x:v>7.571428571428571</x:v>
      </x:c>
      <x:c r="AC281" t="n">
        <x:f>S281+U281</x:f>
        <x:v>53</x:v>
      </x:c>
      <x:c r="AD281" t="n">
        <x:f>IF(T281=0,1,0)</x:f>
        <x:v>0</x:v>
      </x:c>
      <x:c r="AE281" t="str">
        <x:f>IF(R281&gt;0,"Gain",IF(R281&lt;0,"Loss","Neutral"))</x:f>
        <x:v>Gain</x:v>
      </x:c>
    </x:row>
    <x:row r="282">
      <x:c r="A282" t="n">
        <x:v>281</x:v>
      </x:c>
      <x:c r="B282" s="12" t="n">
        <x:v>46108</x:v>
      </x:c>
      <x:c r="C282" t="str">
        <x:v>Mar 27</x:v>
      </x:c>
      <x:c r="D282" t="n">
        <x:v>27</x:v>
      </x:c>
      <x:c r="E282" t="n">
        <x:v>11</x:v>
      </x:c>
      <x:c r="F282" s="14" t="n">
        <x:v>15</x:v>
      </x:c>
      <x:c r="G282" t="str">
        <x:v>2mo ago</x:v>
      </x:c>
      <x:c r="H282" t="str">
        <x:v>Competitive</x:v>
      </x:c>
      <x:c r="I282" t="str">
        <x:v>Convoy</x:v>
      </x:c>
      <x:c r="J282" t="str">
        <x:v>Arakko</x:v>
      </x:c>
      <x:c r="K282" t="str">
        <x:v>The Thing</x:v>
      </x:c>
      <x:c r="L282" t="str">
        <x:v>Loss</x:v>
      </x:c>
      <x:c r="M282" t="str"/>
      <x:c r="N282" t="n">
        <x:v>4</x:v>
      </x:c>
      <x:c r="O282" t="n">
        <x:v>3</x:v>
      </x:c>
      <x:c r="P282" t="str">
        <x:v>Diamond II</x:v>
      </x:c>
      <x:c r="Q282" t="n">
        <x:v>4280</x:v>
      </x:c>
      <x:c r="R282" s="14" t="n">
        <x:v>-19</x:v>
      </x:c>
      <x:c r="S282" t="n">
        <x:v>43</x:v>
      </x:c>
      <x:c r="T282" t="n">
        <x:v>16</x:v>
      </x:c>
      <x:c r="U282" t="n">
        <x:v>32</x:v>
      </x:c>
      <x:c r="V282" s="16" t="n">
        <x:v>4.69</x:v>
      </x:c>
      <x:c r="W282" t="str">
        <x:v>Parsed from Tracker.gg MHTML/PDF export; competitive rows only.</x:v>
      </x:c>
      <x:c r="X282" t="n">
        <x:f>IF(L282="Win",1,0)</x:f>
        <x:v>0</x:v>
      </x:c>
      <x:c r="Y282" s="14" t="n">
        <x:f>IF(L282="Loss",1,0)</x:f>
        <x:v>1</x:v>
      </x:c>
      <x:c r="Z282" t="n">
        <x:f>IF(L282="Draw/Unknown",1,0)</x:f>
        <x:v>0</x:v>
      </x:c>
      <x:c r="AA282" s="16" t="n">
        <x:f>IF(OR(N282="",O282=""),"",N282-O282)</x:f>
        <x:v>1</x:v>
      </x:c>
      <x:c r="AB282" s="16" t="n">
        <x:f>IF(T282=0,S282+U282,(S282+U282)/T282)</x:f>
        <x:v>4.6875</x:v>
      </x:c>
      <x:c r="AC282" t="n">
        <x:f>S282+U282</x:f>
        <x:v>75</x:v>
      </x:c>
      <x:c r="AD282" t="n">
        <x:f>IF(T282=0,1,0)</x:f>
        <x:v>0</x:v>
      </x:c>
      <x:c r="AE282" t="str">
        <x:f>IF(R282&gt;0,"Gain",IF(R282&lt;0,"Loss","Neutral"))</x:f>
        <x:v>Loss</x:v>
      </x:c>
    </x:row>
    <x:row r="283">
      <x:c r="A283" t="n">
        <x:v>282</x:v>
      </x:c>
      <x:c r="B283" s="12" t="n">
        <x:v>46108</x:v>
      </x:c>
      <x:c r="C283" t="str">
        <x:v>Mar 27</x:v>
      </x:c>
      <x:c r="D283" t="n">
        <x:v>27</x:v>
      </x:c>
      <x:c r="E283" t="n">
        <x:v>11</x:v>
      </x:c>
      <x:c r="F283" s="14" t="n">
        <x:v>15</x:v>
      </x:c>
      <x:c r="G283" t="str">
        <x:v>2mo ago</x:v>
      </x:c>
      <x:c r="H283" t="str">
        <x:v>Competitive</x:v>
      </x:c>
      <x:c r="I283" t="str">
        <x:v>Convergence</x:v>
      </x:c>
      <x:c r="J283" t="str">
        <x:v>Heart Of Heaven</x:v>
      </x:c>
      <x:c r="K283" t="str">
        <x:v>The Thing</x:v>
      </x:c>
      <x:c r="L283" t="str">
        <x:v>Loss</x:v>
      </x:c>
      <x:c r="M283" t="str"/>
      <x:c r="N283" t="n">
        <x:v>1</x:v>
      </x:c>
      <x:c r="O283" t="n">
        <x:v>2</x:v>
      </x:c>
      <x:c r="P283" t="str">
        <x:v>Diamond II</x:v>
      </x:c>
      <x:c r="Q283" t="n">
        <x:v>4299</x:v>
      </x:c>
      <x:c r="R283" s="14" t="n">
        <x:v>-12</x:v>
      </x:c>
      <x:c r="S283" t="n">
        <x:v>3</x:v>
      </x:c>
      <x:c r="T283" t="n">
        <x:v>17</x:v>
      </x:c>
      <x:c r="U283" t="n">
        <x:v>0</x:v>
      </x:c>
      <x:c r="V283" s="16" t="n">
        <x:v>0.18</x:v>
      </x:c>
      <x:c r="W283" t="str">
        <x:v>Parsed from Tracker.gg MHTML/PDF export; competitive rows only.</x:v>
      </x:c>
      <x:c r="X283" t="n">
        <x:f>IF(L283="Win",1,0)</x:f>
        <x:v>0</x:v>
      </x:c>
      <x:c r="Y283" s="14" t="n">
        <x:f>IF(L283="Loss",1,0)</x:f>
        <x:v>1</x:v>
      </x:c>
      <x:c r="Z283" t="n">
        <x:f>IF(L283="Draw/Unknown",1,0)</x:f>
        <x:v>0</x:v>
      </x:c>
      <x:c r="AA283" s="16" t="n">
        <x:f>IF(OR(N283="",O283=""),"",N283-O283)</x:f>
        <x:v>-1</x:v>
      </x:c>
      <x:c r="AB283" s="16" t="n">
        <x:f>IF(T283=0,S283+U283,(S283+U283)/T283)</x:f>
        <x:v>0.17647058823529413</x:v>
      </x:c>
      <x:c r="AC283" t="n">
        <x:f>S283+U283</x:f>
        <x:v>3</x:v>
      </x:c>
      <x:c r="AD283" t="n">
        <x:f>IF(T283=0,1,0)</x:f>
        <x:v>0</x:v>
      </x:c>
      <x:c r="AE283" t="str">
        <x:f>IF(R283&gt;0,"Gain",IF(R283&lt;0,"Loss","Neutral"))</x:f>
        <x:v>Loss</x:v>
      </x:c>
    </x:row>
    <x:row r="284">
      <x:c r="A284" t="n">
        <x:v>283</x:v>
      </x:c>
      <x:c r="B284" s="12" t="n">
        <x:v>46108</x:v>
      </x:c>
      <x:c r="C284" t="str">
        <x:v>Mar 27</x:v>
      </x:c>
      <x:c r="D284" t="n">
        <x:v>27</x:v>
      </x:c>
      <x:c r="E284" t="n">
        <x:v>11</x:v>
      </x:c>
      <x:c r="F284" s="14" t="n">
        <x:v>15</x:v>
      </x:c>
      <x:c r="G284" t="str">
        <x:v>2mo ago</x:v>
      </x:c>
      <x:c r="H284" t="str">
        <x:v>Competitive</x:v>
      </x:c>
      <x:c r="I284" t="str">
        <x:v>Domination</x:v>
      </x:c>
      <x:c r="J284" t="str">
        <x:v>Celestial Husk</x:v>
      </x:c>
      <x:c r="K284" t="str">
        <x:v>Rogue</x:v>
      </x:c>
      <x:c r="L284" t="str">
        <x:v>Loss</x:v>
      </x:c>
      <x:c r="M284" t="str"/>
      <x:c r="N284" t="n">
        <x:v>1</x:v>
      </x:c>
      <x:c r="O284" t="n">
        <x:v>2</x:v>
      </x:c>
      <x:c r="P284" t="str">
        <x:v>Diamond II</x:v>
      </x:c>
      <x:c r="Q284" t="n">
        <x:v>4311</x:v>
      </x:c>
      <x:c r="R284" s="14" t="n">
        <x:v>-21</x:v>
      </x:c>
      <x:c r="S284" t="n">
        <x:v>14</x:v>
      </x:c>
      <x:c r="T284" t="n">
        <x:v>12</x:v>
      </x:c>
      <x:c r="U284" t="n">
        <x:v>4</x:v>
      </x:c>
      <x:c r="V284" s="16" t="n">
        <x:v>1.5</x:v>
      </x:c>
      <x:c r="W284" t="str">
        <x:v>Parsed from Tracker.gg MHTML/PDF export; competitive rows only.</x:v>
      </x:c>
      <x:c r="X284" t="n">
        <x:f>IF(L284="Win",1,0)</x:f>
        <x:v>0</x:v>
      </x:c>
      <x:c r="Y284" s="14" t="n">
        <x:f>IF(L284="Loss",1,0)</x:f>
        <x:v>1</x:v>
      </x:c>
      <x:c r="Z284" t="n">
        <x:f>IF(L284="Draw/Unknown",1,0)</x:f>
        <x:v>0</x:v>
      </x:c>
      <x:c r="AA284" s="16" t="n">
        <x:f>IF(OR(N284="",O284=""),"",N284-O284)</x:f>
        <x:v>-1</x:v>
      </x:c>
      <x:c r="AB284" s="16" t="n">
        <x:f>IF(T284=0,S284+U284,(S284+U284)/T284)</x:f>
        <x:v>1.5</x:v>
      </x:c>
      <x:c r="AC284" t="n">
        <x:f>S284+U284</x:f>
        <x:v>18</x:v>
      </x:c>
      <x:c r="AD284" t="n">
        <x:f>IF(T284=0,1,0)</x:f>
        <x:v>0</x:v>
      </x:c>
      <x:c r="AE284" t="str">
        <x:f>IF(R284&gt;0,"Gain",IF(R284&lt;0,"Loss","Neutral"))</x:f>
        <x:v>Loss</x:v>
      </x:c>
    </x:row>
    <x:row r="285">
      <x:c r="A285" t="n">
        <x:v>284</x:v>
      </x:c>
      <x:c r="B285" s="12" t="n">
        <x:v>46108</x:v>
      </x:c>
      <x:c r="C285" t="str">
        <x:v>Mar 27</x:v>
      </x:c>
      <x:c r="D285" t="n">
        <x:v>27</x:v>
      </x:c>
      <x:c r="E285" t="n">
        <x:v>11</x:v>
      </x:c>
      <x:c r="F285" s="14" t="n">
        <x:v>15</x:v>
      </x:c>
      <x:c r="G285" t="str">
        <x:v>2mo ago</x:v>
      </x:c>
      <x:c r="H285" t="str">
        <x:v>Competitive</x:v>
      </x:c>
      <x:c r="I285" t="str">
        <x:v>Convoy</x:v>
      </x:c>
      <x:c r="J285" t="str">
        <x:v>Yggdrasill Path</x:v>
      </x:c>
      <x:c r="K285" t="str">
        <x:v>The Thing</x:v>
      </x:c>
      <x:c r="L285" t="str">
        <x:v>Win</x:v>
      </x:c>
      <x:c r="M285" t="str"/>
      <x:c r="N285" t="n">
        <x:v>0</x:v>
      </x:c>
      <x:c r="O285" t="n">
        <x:v>1</x:v>
      </x:c>
      <x:c r="P285" t="str">
        <x:v>Diamond II</x:v>
      </x:c>
      <x:c r="Q285" t="n">
        <x:v>4331</x:v>
      </x:c>
      <x:c r="R285" s="14" t="n">
        <x:v>25</x:v>
      </x:c>
      <x:c r="S285" t="n">
        <x:v>20</x:v>
      </x:c>
      <x:c r="T285" t="n">
        <x:v>2</x:v>
      </x:c>
      <x:c r="U285" t="n">
        <x:v>16</x:v>
      </x:c>
      <x:c r="V285" s="16" t="n">
        <x:v>18</x:v>
      </x:c>
      <x:c r="W285" t="str">
        <x:v>Parsed from Tracker.gg MHTML/PDF export; competitive rows only.</x:v>
      </x:c>
      <x:c r="X285" t="n">
        <x:f>IF(L285="Win",1,0)</x:f>
        <x:v>1</x:v>
      </x:c>
      <x:c r="Y285" s="14" t="n">
        <x:f>IF(L285="Loss",1,0)</x:f>
        <x:v>0</x:v>
      </x:c>
      <x:c r="Z285" t="n">
        <x:f>IF(L285="Draw/Unknown",1,0)</x:f>
        <x:v>0</x:v>
      </x:c>
      <x:c r="AA285" s="16" t="str">
        <x:f>IF(OR(N285="",O285=""),"",N285-O285)</x:f>
      </x:c>
      <x:c r="AB285" s="16" t="n">
        <x:f>IF(T285=0,S285+U285,(S285+U285)/T285)</x:f>
        <x:v>18</x:v>
      </x:c>
      <x:c r="AC285" t="n">
        <x:f>S285+U285</x:f>
        <x:v>36</x:v>
      </x:c>
      <x:c r="AD285" t="n">
        <x:f>IF(T285=0,1,0)</x:f>
        <x:v>0</x:v>
      </x:c>
      <x:c r="AE285" t="str">
        <x:f>IF(R285&gt;0,"Gain",IF(R285&lt;0,"Loss","Neutral"))</x:f>
        <x:v>Gain</x:v>
      </x:c>
    </x:row>
    <x:row r="286">
      <x:c r="A286" t="n">
        <x:v>285</x:v>
      </x:c>
      <x:c r="B286" s="12" t="n">
        <x:v>46108</x:v>
      </x:c>
      <x:c r="C286" t="str">
        <x:v>Mar 27</x:v>
      </x:c>
      <x:c r="D286" t="n">
        <x:v>27</x:v>
      </x:c>
      <x:c r="E286" t="n">
        <x:v>11</x:v>
      </x:c>
      <x:c r="F286" s="14" t="n">
        <x:v>15</x:v>
      </x:c>
      <x:c r="G286" t="str">
        <x:v>2mo ago</x:v>
      </x:c>
      <x:c r="H286" t="str">
        <x:v>Competitive</x:v>
      </x:c>
      <x:c r="I286" t="str">
        <x:v>Domination</x:v>
      </x:c>
      <x:c r="J286" t="str">
        <x:v>Hell's Heaven</x:v>
      </x:c>
      <x:c r="K286" t="str">
        <x:v>Namor</x:v>
      </x:c>
      <x:c r="L286" t="str">
        <x:v>Loss</x:v>
      </x:c>
      <x:c r="M286" t="str"/>
      <x:c r="N286" t="n">
        <x:v>2</x:v>
      </x:c>
      <x:c r="O286" t="n">
        <x:v>0</x:v>
      </x:c>
      <x:c r="P286" t="str">
        <x:v>Diamond II</x:v>
      </x:c>
      <x:c r="Q286" t="n">
        <x:v>4306</x:v>
      </x:c>
      <x:c r="R286" s="14" t="n">
        <x:v>-22</x:v>
      </x:c>
      <x:c r="S286" t="n">
        <x:v>4</x:v>
      </x:c>
      <x:c r="T286" t="n">
        <x:v>6</x:v>
      </x:c>
      <x:c r="U286" t="n">
        <x:v>5</x:v>
      </x:c>
      <x:c r="V286" s="16" t="n">
        <x:v>1.5</x:v>
      </x:c>
      <x:c r="W286" t="str">
        <x:v>Parsed from Tracker.gg MHTML/PDF export; competitive rows only.</x:v>
      </x:c>
      <x:c r="X286" t="n">
        <x:f>IF(L286="Win",1,0)</x:f>
        <x:v>0</x:v>
      </x:c>
      <x:c r="Y286" s="14" t="n">
        <x:f>IF(L286="Loss",1,0)</x:f>
        <x:v>1</x:v>
      </x:c>
      <x:c r="Z286" t="n">
        <x:f>IF(L286="Draw/Unknown",1,0)</x:f>
        <x:v>0</x:v>
      </x:c>
      <x:c r="AA286" s="16" t="str">
        <x:f>IF(OR(N286="",O286=""),"",N286-O286)</x:f>
      </x:c>
      <x:c r="AB286" s="16" t="n">
        <x:f>IF(T286=0,S286+U286,(S286+U286)/T286)</x:f>
        <x:v>1.5</x:v>
      </x:c>
      <x:c r="AC286" t="n">
        <x:f>S286+U286</x:f>
        <x:v>9</x:v>
      </x:c>
      <x:c r="AD286" t="n">
        <x:f>IF(T286=0,1,0)</x:f>
        <x:v>0</x:v>
      </x:c>
      <x:c r="AE286" t="str">
        <x:f>IF(R286&gt;0,"Gain",IF(R286&lt;0,"Loss","Neutral"))</x:f>
        <x:v>Loss</x:v>
      </x:c>
    </x:row>
    <x:row r="287">
      <x:c r="A287" t="n">
        <x:v>286</x:v>
      </x:c>
      <x:c r="B287" s="12" t="n">
        <x:v>46108</x:v>
      </x:c>
      <x:c r="C287" t="str">
        <x:v>Mar 27</x:v>
      </x:c>
      <x:c r="D287" t="n">
        <x:v>27</x:v>
      </x:c>
      <x:c r="E287" t="n">
        <x:v>11</x:v>
      </x:c>
      <x:c r="F287" s="14" t="n">
        <x:v>15</x:v>
      </x:c>
      <x:c r="G287" t="str">
        <x:v>2mo ago</x:v>
      </x:c>
      <x:c r="H287" t="str">
        <x:v>Competitive</x:v>
      </x:c>
      <x:c r="I287" t="str">
        <x:v>Convergence</x:v>
      </x:c>
      <x:c r="J287" t="str">
        <x:v>Shin-Shibuya</x:v>
      </x:c>
      <x:c r="K287" t="str">
        <x:v>The Punisher</x:v>
      </x:c>
      <x:c r="L287" t="str">
        <x:v>Loss</x:v>
      </x:c>
      <x:c r="M287" t="str"/>
      <x:c r="N287" t="n">
        <x:v>3</x:v>
      </x:c>
      <x:c r="O287" t="n">
        <x:v>1</x:v>
      </x:c>
      <x:c r="P287" t="str">
        <x:v>Diamond II</x:v>
      </x:c>
      <x:c r="Q287" t="n">
        <x:v>4328</x:v>
      </x:c>
      <x:c r="R287" s="14" t="n">
        <x:v>-22</x:v>
      </x:c>
      <x:c r="S287" t="n">
        <x:v>16</x:v>
      </x:c>
      <x:c r="T287" t="n">
        <x:v>16</x:v>
      </x:c>
      <x:c r="U287" t="n">
        <x:v>2</x:v>
      </x:c>
      <x:c r="V287" s="16" t="n">
        <x:v>1.12</x:v>
      </x:c>
      <x:c r="W287" t="str">
        <x:v>Parsed from Tracker.gg MHTML/PDF export; competitive rows only.</x:v>
      </x:c>
      <x:c r="X287" t="n">
        <x:f>IF(L287="Win",1,0)</x:f>
        <x:v>0</x:v>
      </x:c>
      <x:c r="Y287" s="14" t="n">
        <x:f>IF(L287="Loss",1,0)</x:f>
        <x:v>1</x:v>
      </x:c>
      <x:c r="Z287" t="n">
        <x:f>IF(L287="Draw/Unknown",1,0)</x:f>
        <x:v>0</x:v>
      </x:c>
      <x:c r="AA287" s="16" t="n">
        <x:f>IF(OR(N287="",O287=""),"",N287-O287)</x:f>
        <x:v>2</x:v>
      </x:c>
      <x:c r="AB287" s="16" t="n">
        <x:f>IF(T287=0,S287+U287,(S287+U287)/T287)</x:f>
        <x:v>1.125</x:v>
      </x:c>
      <x:c r="AC287" t="n">
        <x:f>S287+U287</x:f>
        <x:v>18</x:v>
      </x:c>
      <x:c r="AD287" t="n">
        <x:f>IF(T287=0,1,0)</x:f>
        <x:v>0</x:v>
      </x:c>
      <x:c r="AE287" t="str">
        <x:f>IF(R287&gt;0,"Gain",IF(R287&lt;0,"Loss","Neutral"))</x:f>
        <x:v>Loss</x:v>
      </x:c>
    </x:row>
    <x:row r="288">
      <x:c r="A288" t="n">
        <x:v>287</x:v>
      </x:c>
      <x:c r="B288" s="12" t="n">
        <x:v>46108</x:v>
      </x:c>
      <x:c r="C288" t="str">
        <x:v>Mar 27</x:v>
      </x:c>
      <x:c r="D288" t="n">
        <x:v>27</x:v>
      </x:c>
      <x:c r="E288" t="n">
        <x:v>11</x:v>
      </x:c>
      <x:c r="F288" s="14" t="n">
        <x:v>15</x:v>
      </x:c>
      <x:c r="G288" t="str">
        <x:v>2mo ago</x:v>
      </x:c>
      <x:c r="H288" t="str">
        <x:v>Competitive</x:v>
      </x:c>
      <x:c r="I288" t="str">
        <x:v>Convergence</x:v>
      </x:c>
      <x:c r="J288" t="str">
        <x:v>Central Park</x:v>
      </x:c>
      <x:c r="K288" t="str">
        <x:v>Bruce Banner</x:v>
      </x:c>
      <x:c r="L288" t="str">
        <x:v>Win</x:v>
      </x:c>
      <x:c r="M288" t="str"/>
      <x:c r="N288" t="n">
        <x:v>0</x:v>
      </x:c>
      <x:c r="O288" t="n">
        <x:v>1</x:v>
      </x:c>
      <x:c r="P288" t="str">
        <x:v>Diamond II</x:v>
      </x:c>
      <x:c r="Q288" t="n">
        <x:v>4349</x:v>
      </x:c>
      <x:c r="R288" s="14" t="n">
        <x:v>25</x:v>
      </x:c>
      <x:c r="S288" t="n">
        <x:v>12</x:v>
      </x:c>
      <x:c r="T288" t="n">
        <x:v>4</x:v>
      </x:c>
      <x:c r="U288" t="n">
        <x:v>1</x:v>
      </x:c>
      <x:c r="V288" s="16" t="n">
        <x:v>3.25</x:v>
      </x:c>
      <x:c r="W288" t="str">
        <x:v>Parsed from Tracker.gg MHTML/PDF export; competitive rows only.</x:v>
      </x:c>
      <x:c r="X288" t="n">
        <x:f>IF(L288="Win",1,0)</x:f>
        <x:v>1</x:v>
      </x:c>
      <x:c r="Y288" s="14" t="n">
        <x:f>IF(L288="Loss",1,0)</x:f>
        <x:v>0</x:v>
      </x:c>
      <x:c r="Z288" t="n">
        <x:f>IF(L288="Draw/Unknown",1,0)</x:f>
        <x:v>0</x:v>
      </x:c>
      <x:c r="AA288" s="16" t="str">
        <x:f>IF(OR(N288="",O288=""),"",N288-O288)</x:f>
      </x:c>
      <x:c r="AB288" s="16" t="n">
        <x:f>IF(T288=0,S288+U288,(S288+U288)/T288)</x:f>
        <x:v>3.25</x:v>
      </x:c>
      <x:c r="AC288" t="n">
        <x:f>S288+U288</x:f>
        <x:v>13</x:v>
      </x:c>
      <x:c r="AD288" t="n">
        <x:f>IF(T288=0,1,0)</x:f>
        <x:v>0</x:v>
      </x:c>
      <x:c r="AE288" t="str">
        <x:f>IF(R288&gt;0,"Gain",IF(R288&lt;0,"Loss","Neutral"))</x:f>
        <x:v>Gain</x:v>
      </x:c>
    </x:row>
    <x:row r="289">
      <x:c r="A289" t="n">
        <x:v>288</x:v>
      </x:c>
      <x:c r="B289" s="12" t="n">
        <x:v>46108</x:v>
      </x:c>
      <x:c r="C289" t="str">
        <x:v>Mar 27</x:v>
      </x:c>
      <x:c r="D289" t="n">
        <x:v>27</x:v>
      </x:c>
      <x:c r="E289" t="n">
        <x:v>11</x:v>
      </x:c>
      <x:c r="F289" s="14" t="n">
        <x:v>15</x:v>
      </x:c>
      <x:c r="G289" t="str">
        <x:v>2mo ago</x:v>
      </x:c>
      <x:c r="H289" t="str">
        <x:v>Competitive</x:v>
      </x:c>
      <x:c r="I289" t="str">
        <x:v>Convoy</x:v>
      </x:c>
      <x:c r="J289" t="str">
        <x:v>Museum of Contemplation</x:v>
      </x:c>
      <x:c r="K289" t="str">
        <x:v>The Thing</x:v>
      </x:c>
      <x:c r="L289" t="str">
        <x:v>Loss</x:v>
      </x:c>
      <x:c r="M289" t="str"/>
      <x:c r="N289" t="n">
        <x:v>3</x:v>
      </x:c>
      <x:c r="O289" t="n">
        <x:v>1</x:v>
      </x:c>
      <x:c r="P289" t="str">
        <x:v>Diamond II</x:v>
      </x:c>
      <x:c r="Q289" t="n">
        <x:v>4324</x:v>
      </x:c>
      <x:c r="R289" s="14" t="n">
        <x:v>-23</x:v>
      </x:c>
      <x:c r="S289" t="n">
        <x:v>24</x:v>
      </x:c>
      <x:c r="T289" t="n">
        <x:v>15</x:v>
      </x:c>
      <x:c r="U289" t="n">
        <x:v>17</x:v>
      </x:c>
      <x:c r="V289" s="16" t="n">
        <x:v>2.73</x:v>
      </x:c>
      <x:c r="W289" t="str">
        <x:v>Parsed from Tracker.gg MHTML/PDF export; competitive rows only.</x:v>
      </x:c>
      <x:c r="X289" t="n">
        <x:f>IF(L289="Win",1,0)</x:f>
        <x:v>0</x:v>
      </x:c>
      <x:c r="Y289" s="14" t="n">
        <x:f>IF(L289="Loss",1,0)</x:f>
        <x:v>1</x:v>
      </x:c>
      <x:c r="Z289" t="n">
        <x:f>IF(L289="Draw/Unknown",1,0)</x:f>
        <x:v>0</x:v>
      </x:c>
      <x:c r="AA289" s="16" t="n">
        <x:f>IF(OR(N289="",O289=""),"",N289-O289)</x:f>
        <x:v>2</x:v>
      </x:c>
      <x:c r="AB289" s="16" t="n">
        <x:f>IF(T289=0,S289+U289,(S289+U289)/T289)</x:f>
        <x:v>2.7333333333333334</x:v>
      </x:c>
      <x:c r="AC289" t="n">
        <x:f>S289+U289</x:f>
        <x:v>41</x:v>
      </x:c>
      <x:c r="AD289" t="n">
        <x:f>IF(T289=0,1,0)</x:f>
        <x:v>0</x:v>
      </x:c>
      <x:c r="AE289" t="str">
        <x:f>IF(R289&gt;0,"Gain",IF(R289&lt;0,"Loss","Neutral"))</x:f>
        <x:v>Loss</x:v>
      </x:c>
    </x:row>
    <x:row r="290">
      <x:c r="A290" t="n">
        <x:v>289</x:v>
      </x:c>
      <x:c r="B290" s="12" t="n">
        <x:v>46108</x:v>
      </x:c>
      <x:c r="C290" t="str">
        <x:v>Mar 27</x:v>
      </x:c>
      <x:c r="D290" t="n">
        <x:v>27</x:v>
      </x:c>
      <x:c r="E290" t="n">
        <x:v>11</x:v>
      </x:c>
      <x:c r="F290" s="14" t="n">
        <x:v>15</x:v>
      </x:c>
      <x:c r="G290" t="str">
        <x:v>2mo ago</x:v>
      </x:c>
      <x:c r="H290" t="str">
        <x:v>Competitive</x:v>
      </x:c>
      <x:c r="I290" t="str">
        <x:v>Convoy</x:v>
      </x:c>
      <x:c r="J290" t="str">
        <x:v>Yggdrasill Path</x:v>
      </x:c>
      <x:c r="K290" t="str">
        <x:v>Cloak &amp; Dagger</x:v>
      </x:c>
      <x:c r="L290" t="str">
        <x:v>Win</x:v>
      </x:c>
      <x:c r="M290" t="str">
        <x:v>MVP</x:v>
      </x:c>
      <x:c r="N290" t="n">
        <x:v>3</x:v>
      </x:c>
      <x:c r="O290" t="n">
        <x:v>2</x:v>
      </x:c>
      <x:c r="P290" t="str">
        <x:v>Diamond II</x:v>
      </x:c>
      <x:c r="Q290" t="n">
        <x:v>4346</x:v>
      </x:c>
      <x:c r="R290" s="14" t="n">
        <x:v>26</x:v>
      </x:c>
      <x:c r="S290" t="n">
        <x:v>25</x:v>
      </x:c>
      <x:c r="T290" t="n">
        <x:v>12</x:v>
      </x:c>
      <x:c r="U290" t="n">
        <x:v>41</x:v>
      </x:c>
      <x:c r="V290" s="16" t="n">
        <x:v>5.5</x:v>
      </x:c>
      <x:c r="W290" t="str">
        <x:v>Parsed from Tracker.gg MHTML/PDF export; competitive rows only.</x:v>
      </x:c>
      <x:c r="X290" t="n">
        <x:f>IF(L290="Win",1,0)</x:f>
        <x:v>1</x:v>
      </x:c>
      <x:c r="Y290" s="14" t="n">
        <x:f>IF(L290="Loss",1,0)</x:f>
        <x:v>0</x:v>
      </x:c>
      <x:c r="Z290" t="n">
        <x:f>IF(L290="Draw/Unknown",1,0)</x:f>
        <x:v>0</x:v>
      </x:c>
      <x:c r="AA290" s="16" t="n">
        <x:f>IF(OR(N290="",O290=""),"",N290-O290)</x:f>
        <x:v>1</x:v>
      </x:c>
      <x:c r="AB290" s="16" t="n">
        <x:f>IF(T290=0,S290+U290,(S290+U290)/T290)</x:f>
        <x:v>5.5</x:v>
      </x:c>
      <x:c r="AC290" t="n">
        <x:f>S290+U290</x:f>
        <x:v>66</x:v>
      </x:c>
      <x:c r="AD290" t="n">
        <x:f>IF(T290=0,1,0)</x:f>
        <x:v>0</x:v>
      </x:c>
      <x:c r="AE290" t="str">
        <x:f>IF(R290&gt;0,"Gain",IF(R290&lt;0,"Loss","Neutral"))</x:f>
        <x:v>Gain</x:v>
      </x:c>
    </x:row>
    <x:row r="291">
      <x:c r="A291" t="n">
        <x:v>290</x:v>
      </x:c>
      <x:c r="B291" s="12" t="n">
        <x:v>46107</x:v>
      </x:c>
      <x:c r="C291" t="str">
        <x:v>Mar 26</x:v>
      </x:c>
      <x:c r="D291" t="n">
        <x:v>9</x:v>
      </x:c>
      <x:c r="E291" t="n">
        <x:v>3</x:v>
      </x:c>
      <x:c r="F291" s="14" t="n">
        <x:v>5</x:v>
      </x:c>
      <x:c r="G291" t="str">
        <x:v>2mo ago</x:v>
      </x:c>
      <x:c r="H291" t="str">
        <x:v>Competitive</x:v>
      </x:c>
      <x:c r="I291" t="str">
        <x:v>Domination</x:v>
      </x:c>
      <x:c r="J291" t="str">
        <x:v>Celestial Husk</x:v>
      </x:c>
      <x:c r="K291" t="str">
        <x:v>Peni Parker</x:v>
      </x:c>
      <x:c r="L291" t="str">
        <x:v>Loss</x:v>
      </x:c>
      <x:c r="M291" t="str"/>
      <x:c r="N291" t="n">
        <x:v>1</x:v>
      </x:c>
      <x:c r="O291" t="n">
        <x:v>2</x:v>
      </x:c>
      <x:c r="P291" t="str">
        <x:v>Diamond II</x:v>
      </x:c>
      <x:c r="Q291" t="n">
        <x:v>4320</x:v>
      </x:c>
      <x:c r="R291" s="14" t="n">
        <x:v>-21</x:v>
      </x:c>
      <x:c r="S291" t="n">
        <x:v>17</x:v>
      </x:c>
      <x:c r="T291" t="n">
        <x:v>11</x:v>
      </x:c>
      <x:c r="U291" t="n">
        <x:v>11</x:v>
      </x:c>
      <x:c r="V291" s="16" t="n">
        <x:v>2.55</x:v>
      </x:c>
      <x:c r="W291" t="str">
        <x:v>Parsed from Tracker.gg MHTML/PDF export; competitive rows only.</x:v>
      </x:c>
      <x:c r="X291" t="n">
        <x:f>IF(L291="Win",1,0)</x:f>
        <x:v>0</x:v>
      </x:c>
      <x:c r="Y291" s="14" t="n">
        <x:f>IF(L291="Loss",1,0)</x:f>
        <x:v>1</x:v>
      </x:c>
      <x:c r="Z291" t="n">
        <x:f>IF(L291="Draw/Unknown",1,0)</x:f>
        <x:v>0</x:v>
      </x:c>
      <x:c r="AA291" s="16" t="n">
        <x:f>IF(OR(N291="",O291=""),"",N291-O291)</x:f>
        <x:v>-1</x:v>
      </x:c>
      <x:c r="AB291" s="16" t="n">
        <x:f>IF(T291=0,S291+U291,(S291+U291)/T291)</x:f>
        <x:v>2.5454545454545454</x:v>
      </x:c>
      <x:c r="AC291" t="n">
        <x:f>S291+U291</x:f>
        <x:v>28</x:v>
      </x:c>
      <x:c r="AD291" t="n">
        <x:f>IF(T291=0,1,0)</x:f>
        <x:v>0</x:v>
      </x:c>
      <x:c r="AE291" t="str">
        <x:f>IF(R291&gt;0,"Gain",IF(R291&lt;0,"Loss","Neutral"))</x:f>
        <x:v>Loss</x:v>
      </x:c>
    </x:row>
    <x:row r="292">
      <x:c r="A292" t="n">
        <x:v>291</x:v>
      </x:c>
      <x:c r="B292" s="12" t="n">
        <x:v>46107</x:v>
      </x:c>
      <x:c r="C292" t="str">
        <x:v>Mar 26</x:v>
      </x:c>
      <x:c r="D292" t="n">
        <x:v>9</x:v>
      </x:c>
      <x:c r="E292" t="n">
        <x:v>3</x:v>
      </x:c>
      <x:c r="F292" s="14" t="n">
        <x:v>5</x:v>
      </x:c>
      <x:c r="G292" t="str">
        <x:v>2mo ago</x:v>
      </x:c>
      <x:c r="H292" t="str">
        <x:v>Competitive</x:v>
      </x:c>
      <x:c r="I292" t="str">
        <x:v>Convoy</x:v>
      </x:c>
      <x:c r="J292" t="str">
        <x:v>Arakko</x:v>
      </x:c>
      <x:c r="K292" t="str">
        <x:v>Bruce Banner</x:v>
      </x:c>
      <x:c r="L292" t="str">
        <x:v>Win</x:v>
      </x:c>
      <x:c r="M292" t="str"/>
      <x:c r="N292" t="n">
        <x:v>3</x:v>
      </x:c>
      <x:c r="O292" t="n">
        <x:v>0</x:v>
      </x:c>
      <x:c r="P292" t="str">
        <x:v>Diamond II</x:v>
      </x:c>
      <x:c r="Q292" t="n">
        <x:v>4340</x:v>
      </x:c>
      <x:c r="R292" s="14" t="n">
        <x:v>22</x:v>
      </x:c>
      <x:c r="S292" t="n">
        <x:v>17</x:v>
      </x:c>
      <x:c r="T292" t="n">
        <x:v>8</x:v>
      </x:c>
      <x:c r="U292" t="n">
        <x:v>9</x:v>
      </x:c>
      <x:c r="V292" s="16" t="n">
        <x:v>3.25</x:v>
      </x:c>
      <x:c r="W292" t="str">
        <x:v>Parsed from Tracker.gg MHTML/PDF export; competitive rows only.</x:v>
      </x:c>
      <x:c r="X292" t="n">
        <x:f>IF(L292="Win",1,0)</x:f>
        <x:v>1</x:v>
      </x:c>
      <x:c r="Y292" s="14" t="n">
        <x:f>IF(L292="Loss",1,0)</x:f>
        <x:v>0</x:v>
      </x:c>
      <x:c r="Z292" t="n">
        <x:f>IF(L292="Draw/Unknown",1,0)</x:f>
        <x:v>0</x:v>
      </x:c>
      <x:c r="AA292" s="16" t="str">
        <x:f>IF(OR(N292="",O292=""),"",N292-O292)</x:f>
      </x:c>
      <x:c r="AB292" s="16" t="n">
        <x:f>IF(T292=0,S292+U292,(S292+U292)/T292)</x:f>
        <x:v>3.25</x:v>
      </x:c>
      <x:c r="AC292" t="n">
        <x:f>S292+U292</x:f>
        <x:v>26</x:v>
      </x:c>
      <x:c r="AD292" t="n">
        <x:f>IF(T292=0,1,0)</x:f>
        <x:v>0</x:v>
      </x:c>
      <x:c r="AE292" t="str">
        <x:f>IF(R292&gt;0,"Gain",IF(R292&lt;0,"Loss","Neutral"))</x:f>
        <x:v>Gain</x:v>
      </x:c>
    </x:row>
    <x:row r="293">
      <x:c r="A293" t="n">
        <x:v>292</x:v>
      </x:c>
      <x:c r="B293" s="12" t="n">
        <x:v>46107</x:v>
      </x:c>
      <x:c r="C293" t="str">
        <x:v>Mar 26</x:v>
      </x:c>
      <x:c r="D293" t="n">
        <x:v>9</x:v>
      </x:c>
      <x:c r="E293" t="n">
        <x:v>3</x:v>
      </x:c>
      <x:c r="F293" s="14" t="n">
        <x:v>5</x:v>
      </x:c>
      <x:c r="G293" t="str">
        <x:v>2mo ago</x:v>
      </x:c>
      <x:c r="H293" t="str">
        <x:v>Competitive</x:v>
      </x:c>
      <x:c r="I293" t="str">
        <x:v>Domination</x:v>
      </x:c>
      <x:c r="J293" t="str">
        <x:v>Birnin T'Challa</x:v>
      </x:c>
      <x:c r="K293" t="str">
        <x:v>Human Torch</x:v>
      </x:c>
      <x:c r="L293" t="str">
        <x:v>Loss</x:v>
      </x:c>
      <x:c r="M293" t="str">
        <x:v>SVP</x:v>
      </x:c>
      <x:c r="N293" t="n">
        <x:v>0</x:v>
      </x:c>
      <x:c r="O293" t="n">
        <x:v>2</x:v>
      </x:c>
      <x:c r="P293" t="str">
        <x:v>Diamond II</x:v>
      </x:c>
      <x:c r="Q293" t="n">
        <x:v>4318</x:v>
      </x:c>
      <x:c r="R293" s="14" t="n">
        <x:v>-7</x:v>
      </x:c>
      <x:c r="S293" t="n">
        <x:v>8</x:v>
      </x:c>
      <x:c r="T293" t="n">
        <x:v>5</x:v>
      </x:c>
      <x:c r="U293" t="n">
        <x:v>0</x:v>
      </x:c>
      <x:c r="V293" s="16" t="n">
        <x:v>1.6</x:v>
      </x:c>
      <x:c r="W293" t="str">
        <x:v>Parsed from Tracker.gg MHTML/PDF export; competitive rows only.</x:v>
      </x:c>
      <x:c r="X293" t="n">
        <x:f>IF(L293="Win",1,0)</x:f>
        <x:v>0</x:v>
      </x:c>
      <x:c r="Y293" s="14" t="n">
        <x:f>IF(L293="Loss",1,0)</x:f>
        <x:v>1</x:v>
      </x:c>
      <x:c r="Z293" t="n">
        <x:f>IF(L293="Draw/Unknown",1,0)</x:f>
        <x:v>0</x:v>
      </x:c>
      <x:c r="AA293" s="16" t="str">
        <x:f>IF(OR(N293="",O293=""),"",N293-O293)</x:f>
      </x:c>
      <x:c r="AB293" s="16" t="n">
        <x:f>IF(T293=0,S293+U293,(S293+U293)/T293)</x:f>
        <x:v>1.6</x:v>
      </x:c>
      <x:c r="AC293" t="n">
        <x:f>S293+U293</x:f>
        <x:v>8</x:v>
      </x:c>
      <x:c r="AD293" t="n">
        <x:f>IF(T293=0,1,0)</x:f>
        <x:v>0</x:v>
      </x:c>
      <x:c r="AE293" t="str">
        <x:f>IF(R293&gt;0,"Gain",IF(R293&lt;0,"Loss","Neutral"))</x:f>
        <x:v>Loss</x:v>
      </x:c>
    </x:row>
    <x:row r="294">
      <x:c r="A294" t="n">
        <x:v>293</x:v>
      </x:c>
      <x:c r="B294" s="12" t="n">
        <x:v>46107</x:v>
      </x:c>
      <x:c r="C294" t="str">
        <x:v>Mar 26</x:v>
      </x:c>
      <x:c r="D294" t="n">
        <x:v>9</x:v>
      </x:c>
      <x:c r="E294" t="n">
        <x:v>3</x:v>
      </x:c>
      <x:c r="F294" s="14" t="n">
        <x:v>5</x:v>
      </x:c>
      <x:c r="G294" t="str">
        <x:v>2mo ago</x:v>
      </x:c>
      <x:c r="H294" t="str">
        <x:v>Competitive</x:v>
      </x:c>
      <x:c r="I294" t="str">
        <x:v>Convergence</x:v>
      </x:c>
      <x:c r="J294" t="str">
        <x:v>Hall Of Djalia</x:v>
      </x:c>
      <x:c r="K294" t="str">
        <x:v>The Thing</x:v>
      </x:c>
      <x:c r="L294" t="str">
        <x:v>Loss</x:v>
      </x:c>
      <x:c r="M294" t="str"/>
      <x:c r="N294" t="n">
        <x:v>1</x:v>
      </x:c>
      <x:c r="O294" t="n">
        <x:v>2</x:v>
      </x:c>
      <x:c r="P294" t="str">
        <x:v>Diamond II</x:v>
      </x:c>
      <x:c r="Q294" t="n">
        <x:v>4324</x:v>
      </x:c>
      <x:c r="R294" s="14" t="n">
        <x:v>-24</x:v>
      </x:c>
      <x:c r="S294" t="n">
        <x:v>9</x:v>
      </x:c>
      <x:c r="T294" t="n">
        <x:v>10</x:v>
      </x:c>
      <x:c r="U294" t="n">
        <x:v>2</x:v>
      </x:c>
      <x:c r="V294" s="16" t="n">
        <x:v>1.1</x:v>
      </x:c>
      <x:c r="W294" t="str">
        <x:v>Parsed from Tracker.gg MHTML/PDF export; competitive rows only.</x:v>
      </x:c>
      <x:c r="X294" t="n">
        <x:f>IF(L294="Win",1,0)</x:f>
        <x:v>0</x:v>
      </x:c>
      <x:c r="Y294" s="14" t="n">
        <x:f>IF(L294="Loss",1,0)</x:f>
        <x:v>1</x:v>
      </x:c>
      <x:c r="Z294" t="n">
        <x:f>IF(L294="Draw/Unknown",1,0)</x:f>
        <x:v>0</x:v>
      </x:c>
      <x:c r="AA294" s="16" t="n">
        <x:f>IF(OR(N294="",O294=""),"",N294-O294)</x:f>
        <x:v>-1</x:v>
      </x:c>
      <x:c r="AB294" s="16" t="n">
        <x:f>IF(T294=0,S294+U294,(S294+U294)/T294)</x:f>
        <x:v>1.1</x:v>
      </x:c>
      <x:c r="AC294" t="n">
        <x:f>S294+U294</x:f>
        <x:v>11</x:v>
      </x:c>
      <x:c r="AD294" t="n">
        <x:f>IF(T294=0,1,0)</x:f>
        <x:v>0</x:v>
      </x:c>
      <x:c r="AE294" t="str">
        <x:f>IF(R294&gt;0,"Gain",IF(R294&lt;0,"Loss","Neutral"))</x:f>
        <x:v>Loss</x:v>
      </x:c>
    </x:row>
    <x:row r="295">
      <x:c r="A295" t="n">
        <x:v>294</x:v>
      </x:c>
      <x:c r="B295" s="12" t="n">
        <x:v>46107</x:v>
      </x:c>
      <x:c r="C295" t="str">
        <x:v>Mar 26</x:v>
      </x:c>
      <x:c r="D295" t="n">
        <x:v>9</x:v>
      </x:c>
      <x:c r="E295" t="n">
        <x:v>3</x:v>
      </x:c>
      <x:c r="F295" s="14" t="n">
        <x:v>5</x:v>
      </x:c>
      <x:c r="G295" t="str">
        <x:v>2mo ago</x:v>
      </x:c>
      <x:c r="H295" t="str">
        <x:v>Competitive</x:v>
      </x:c>
      <x:c r="I295" t="str">
        <x:v>Domination</x:v>
      </x:c>
      <x:c r="J295" t="str">
        <x:v>Hell's Heaven</x:v>
      </x:c>
      <x:c r="K295" t="str">
        <x:v>The Thing</x:v>
      </x:c>
      <x:c r="L295" t="str">
        <x:v>Loss</x:v>
      </x:c>
      <x:c r="M295" t="str"/>
      <x:c r="N295" t="n">
        <x:v>2</x:v>
      </x:c>
      <x:c r="O295" t="n">
        <x:v>0</x:v>
      </x:c>
      <x:c r="P295" t="str">
        <x:v>Diamond II</x:v>
      </x:c>
      <x:c r="Q295" t="n">
        <x:v>4348</x:v>
      </x:c>
      <x:c r="R295" s="14" t="n">
        <x:v>-21</x:v>
      </x:c>
      <x:c r="S295" t="n">
        <x:v>12</x:v>
      </x:c>
      <x:c r="T295" t="n">
        <x:v>9</x:v>
      </x:c>
      <x:c r="U295" t="n">
        <x:v>5</x:v>
      </x:c>
      <x:c r="V295" s="16" t="n">
        <x:v>1.89</x:v>
      </x:c>
      <x:c r="W295" t="str">
        <x:v>Parsed from Tracker.gg MHTML/PDF export; competitive rows only.</x:v>
      </x:c>
      <x:c r="X295" t="n">
        <x:f>IF(L295="Win",1,0)</x:f>
        <x:v>0</x:v>
      </x:c>
      <x:c r="Y295" s="14" t="n">
        <x:f>IF(L295="Loss",1,0)</x:f>
        <x:v>1</x:v>
      </x:c>
      <x:c r="Z295" t="n">
        <x:f>IF(L295="Draw/Unknown",1,0)</x:f>
        <x:v>0</x:v>
      </x:c>
      <x:c r="AA295" s="16" t="str">
        <x:f>IF(OR(N295="",O295=""),"",N295-O295)</x:f>
      </x:c>
      <x:c r="AB295" s="16" t="n">
        <x:f>IF(T295=0,S295+U295,(S295+U295)/T295)</x:f>
        <x:v>1.8888888888888888</x:v>
      </x:c>
      <x:c r="AC295" t="n">
        <x:f>S295+U295</x:f>
        <x:v>17</x:v>
      </x:c>
      <x:c r="AD295" t="n">
        <x:f>IF(T295=0,1,0)</x:f>
        <x:v>0</x:v>
      </x:c>
      <x:c r="AE295" t="str">
        <x:f>IF(R295&gt;0,"Gain",IF(R295&lt;0,"Loss","Neutral"))</x:f>
        <x:v>Loss</x:v>
      </x:c>
    </x:row>
    <x:row r="296">
      <x:c r="A296" t="n">
        <x:v>295</x:v>
      </x:c>
      <x:c r="B296" s="12" t="n">
        <x:v>46107</x:v>
      </x:c>
      <x:c r="C296" t="str">
        <x:v>Mar 26</x:v>
      </x:c>
      <x:c r="D296" t="n">
        <x:v>9</x:v>
      </x:c>
      <x:c r="E296" t="n">
        <x:v>3</x:v>
      </x:c>
      <x:c r="F296" s="14" t="n">
        <x:v>5</x:v>
      </x:c>
      <x:c r="G296" t="str">
        <x:v>2mo ago</x:v>
      </x:c>
      <x:c r="H296" t="str">
        <x:v>Competitive</x:v>
      </x:c>
      <x:c r="I296" t="str">
        <x:v>Convergence</x:v>
      </x:c>
      <x:c r="J296" t="str">
        <x:v>Heart Of Heaven</x:v>
      </x:c>
      <x:c r="K296" t="str">
        <x:v>The Thing</x:v>
      </x:c>
      <x:c r="L296" t="str">
        <x:v>Win</x:v>
      </x:c>
      <x:c r="M296" t="str"/>
      <x:c r="N296" t="n">
        <x:v>3</x:v>
      </x:c>
      <x:c r="O296" t="n">
        <x:v>0</x:v>
      </x:c>
      <x:c r="P296" t="str">
        <x:v>Diamond II</x:v>
      </x:c>
      <x:c r="Q296" t="n">
        <x:v>4368</x:v>
      </x:c>
      <x:c r="R296" s="14" t="n">
        <x:v>25</x:v>
      </x:c>
      <x:c r="S296" t="n">
        <x:v>20</x:v>
      </x:c>
      <x:c r="T296" t="n">
        <x:v>2</x:v>
      </x:c>
      <x:c r="U296" t="n">
        <x:v>9</x:v>
      </x:c>
      <x:c r="V296" s="16" t="n">
        <x:v>14.5</x:v>
      </x:c>
      <x:c r="W296" t="str">
        <x:v>Parsed from Tracker.gg MHTML/PDF export; competitive rows only.</x:v>
      </x:c>
      <x:c r="X296" t="n">
        <x:f>IF(L296="Win",1,0)</x:f>
        <x:v>1</x:v>
      </x:c>
      <x:c r="Y296" s="14" t="n">
        <x:f>IF(L296="Loss",1,0)</x:f>
        <x:v>0</x:v>
      </x:c>
      <x:c r="Z296" t="n">
        <x:f>IF(L296="Draw/Unknown",1,0)</x:f>
        <x:v>0</x:v>
      </x:c>
      <x:c r="AA296" s="16" t="str">
        <x:f>IF(OR(N296="",O296=""),"",N296-O296)</x:f>
      </x:c>
      <x:c r="AB296" s="16" t="n">
        <x:f>IF(T296=0,S296+U296,(S296+U296)/T296)</x:f>
        <x:v>14.5</x:v>
      </x:c>
      <x:c r="AC296" t="n">
        <x:f>S296+U296</x:f>
        <x:v>29</x:v>
      </x:c>
      <x:c r="AD296" t="n">
        <x:f>IF(T296=0,1,0)</x:f>
        <x:v>0</x:v>
      </x:c>
      <x:c r="AE296" t="str">
        <x:f>IF(R296&gt;0,"Gain",IF(R296&lt;0,"Loss","Neutral"))</x:f>
        <x:v>Gain</x:v>
      </x:c>
    </x:row>
    <x:row r="297">
      <x:c r="A297" t="n">
        <x:v>296</x:v>
      </x:c>
      <x:c r="B297" s="12" t="n">
        <x:v>46107</x:v>
      </x:c>
      <x:c r="C297" t="str">
        <x:v>Mar 26</x:v>
      </x:c>
      <x:c r="D297" t="n">
        <x:v>9</x:v>
      </x:c>
      <x:c r="E297" t="n">
        <x:v>3</x:v>
      </x:c>
      <x:c r="F297" s="14" t="n">
        <x:v>5</x:v>
      </x:c>
      <x:c r="G297" t="str">
        <x:v>2mo ago</x:v>
      </x:c>
      <x:c r="H297" t="str">
        <x:v>Competitive</x:v>
      </x:c>
      <x:c r="I297" t="str">
        <x:v>Convergence</x:v>
      </x:c>
      <x:c r="J297" t="str">
        <x:v>Shin-Shibuya</x:v>
      </x:c>
      <x:c r="K297" t="str">
        <x:v>Peni Parker</x:v>
      </x:c>
      <x:c r="L297" t="str">
        <x:v>Draw/Unknown</x:v>
      </x:c>
      <x:c r="M297" t="str">
        <x:v>MVP</x:v>
      </x:c>
      <x:c r="N297" t="n">
        <x:v>0</x:v>
      </x:c>
      <x:c r="O297" t="n">
        <x:v>0</x:v>
      </x:c>
      <x:c r="P297" t="str">
        <x:v>Diamond II</x:v>
      </x:c>
      <x:c r="Q297" t="n">
        <x:v>4343</x:v>
      </x:c>
      <x:c r="R297" s="14" t="n">
        <x:v>2</x:v>
      </x:c>
      <x:c r="S297" t="n">
        <x:v>17</x:v>
      </x:c>
      <x:c r="T297" t="n">
        <x:v>7</x:v>
      </x:c>
      <x:c r="U297" t="n">
        <x:v>16</x:v>
      </x:c>
      <x:c r="V297" s="16" t="n">
        <x:v>4.71</x:v>
      </x:c>
      <x:c r="W297" t="str">
        <x:v>Parsed from Tracker.gg MHTML/PDF export; competitive rows only.</x:v>
      </x:c>
      <x:c r="X297" t="n">
        <x:f>IF(L297="Win",1,0)</x:f>
        <x:v>0</x:v>
      </x:c>
      <x:c r="Y297" s="14" t="n">
        <x:f>IF(L297="Loss",1,0)</x:f>
        <x:v>0</x:v>
      </x:c>
      <x:c r="Z297" t="n">
        <x:f>IF(L297="Draw/Unknown",1,0)</x:f>
        <x:v>1</x:v>
      </x:c>
      <x:c r="AA297" s="16" t="str">
        <x:f>IF(OR(N297="",O297=""),"",N297-O297)</x:f>
      </x:c>
      <x:c r="AB297" s="16" t="n">
        <x:f>IF(T297=0,S297+U297,(S297+U297)/T297)</x:f>
        <x:v>4.714285714285714</x:v>
      </x:c>
      <x:c r="AC297" t="n">
        <x:f>S297+U297</x:f>
        <x:v>33</x:v>
      </x:c>
      <x:c r="AD297" t="n">
        <x:f>IF(T297=0,1,0)</x:f>
        <x:v>0</x:v>
      </x:c>
      <x:c r="AE297" t="str">
        <x:f>IF(R297&gt;0,"Gain",IF(R297&lt;0,"Loss","Neutral"))</x:f>
        <x:v>Gain</x:v>
      </x:c>
    </x:row>
    <x:row r="298">
      <x:c r="A298" t="n">
        <x:v>297</x:v>
      </x:c>
      <x:c r="B298" s="12" t="n">
        <x:v>46107</x:v>
      </x:c>
      <x:c r="C298" t="str">
        <x:v>Mar 26</x:v>
      </x:c>
      <x:c r="D298" t="n">
        <x:v>9</x:v>
      </x:c>
      <x:c r="E298" t="n">
        <x:v>3</x:v>
      </x:c>
      <x:c r="F298" s="14" t="n">
        <x:v>5</x:v>
      </x:c>
      <x:c r="G298" t="str">
        <x:v>2mo ago</x:v>
      </x:c>
      <x:c r="H298" t="str">
        <x:v>Competitive</x:v>
      </x:c>
      <x:c r="I298" t="str">
        <x:v>Convergence</x:v>
      </x:c>
      <x:c r="J298" t="str">
        <x:v>Symbiotic Surface</x:v>
      </x:c>
      <x:c r="K298" t="str">
        <x:v>Cloak &amp; Dagger</x:v>
      </x:c>
      <x:c r="L298" t="str">
        <x:v>Loss</x:v>
      </x:c>
      <x:c r="M298" t="str"/>
      <x:c r="N298" t="n">
        <x:v>3</x:v>
      </x:c>
      <x:c r="O298" t="n">
        <x:v>4</x:v>
      </x:c>
      <x:c r="P298" t="str">
        <x:v>Diamond II</x:v>
      </x:c>
      <x:c r="Q298" t="n">
        <x:v>4340</x:v>
      </x:c>
      <x:c r="R298" s="14" t="n">
        <x:v>-22</x:v>
      </x:c>
      <x:c r="S298" t="n">
        <x:v>20</x:v>
      </x:c>
      <x:c r="T298" t="n">
        <x:v>12</x:v>
      </x:c>
      <x:c r="U298" t="n">
        <x:v>37</x:v>
      </x:c>
      <x:c r="V298" s="16" t="n">
        <x:v>4.75</x:v>
      </x:c>
      <x:c r="W298" t="str">
        <x:v>Parsed from Tracker.gg MHTML/PDF export; competitive rows only.</x:v>
      </x:c>
      <x:c r="X298" t="n">
        <x:f>IF(L298="Win",1,0)</x:f>
        <x:v>0</x:v>
      </x:c>
      <x:c r="Y298" s="14" t="n">
        <x:f>IF(L298="Loss",1,0)</x:f>
        <x:v>1</x:v>
      </x:c>
      <x:c r="Z298" t="n">
        <x:f>IF(L298="Draw/Unknown",1,0)</x:f>
        <x:v>0</x:v>
      </x:c>
      <x:c r="AA298" s="16" t="n">
        <x:f>IF(OR(N298="",O298=""),"",N298-O298)</x:f>
        <x:v>-1</x:v>
      </x:c>
      <x:c r="AB298" s="16" t="n">
        <x:f>IF(T298=0,S298+U298,(S298+U298)/T298)</x:f>
        <x:v>4.75</x:v>
      </x:c>
      <x:c r="AC298" t="n">
        <x:f>S298+U298</x:f>
        <x:v>57</x:v>
      </x:c>
      <x:c r="AD298" t="n">
        <x:f>IF(T298=0,1,0)</x:f>
        <x:v>0</x:v>
      </x:c>
      <x:c r="AE298" t="str">
        <x:f>IF(R298&gt;0,"Gain",IF(R298&lt;0,"Loss","Neutral"))</x:f>
        <x:v>Loss</x:v>
      </x:c>
    </x:row>
    <x:row r="299">
      <x:c r="A299" t="n">
        <x:v>298</x:v>
      </x:c>
      <x:c r="B299" s="12" t="n">
        <x:v>46106</x:v>
      </x:c>
      <x:c r="C299" t="str">
        <x:v>Mar 25</x:v>
      </x:c>
      <x:c r="D299" t="n">
        <x:v>8</x:v>
      </x:c>
      <x:c r="E299" t="n">
        <x:v>3</x:v>
      </x:c>
      <x:c r="F299" s="14" t="n">
        <x:v>4</x:v>
      </x:c>
      <x:c r="G299" t="str">
        <x:v>2mo ago</x:v>
      </x:c>
      <x:c r="H299" t="str">
        <x:v>Competitive</x:v>
      </x:c>
      <x:c r="I299" t="str">
        <x:v>Convoy</x:v>
      </x:c>
      <x:c r="J299" t="str">
        <x:v>Museum of Contemplation</x:v>
      </x:c>
      <x:c r="K299" t="str">
        <x:v>The Thing</x:v>
      </x:c>
      <x:c r="L299" t="str">
        <x:v>Loss</x:v>
      </x:c>
      <x:c r="M299" t="str"/>
      <x:c r="N299" t="n">
        <x:v>0</x:v>
      </x:c>
      <x:c r="O299" t="n">
        <x:v>1</x:v>
      </x:c>
      <x:c r="P299" t="str">
        <x:v>Diamond II</x:v>
      </x:c>
      <x:c r="Q299" t="n">
        <x:v>4362</x:v>
      </x:c>
      <x:c r="R299" s="14" t="n">
        <x:v>-19</x:v>
      </x:c>
      <x:c r="S299" t="n">
        <x:v>6</x:v>
      </x:c>
      <x:c r="T299" t="n">
        <x:v>7</x:v>
      </x:c>
      <x:c r="U299" t="n">
        <x:v>3</x:v>
      </x:c>
      <x:c r="V299" s="16" t="n">
        <x:v>1.29</x:v>
      </x:c>
      <x:c r="W299" t="str">
        <x:v>Parsed from Tracker.gg MHTML/PDF export; competitive rows only.</x:v>
      </x:c>
      <x:c r="X299" t="n">
        <x:f>IF(L299="Win",1,0)</x:f>
        <x:v>0</x:v>
      </x:c>
      <x:c r="Y299" s="14" t="n">
        <x:f>IF(L299="Loss",1,0)</x:f>
        <x:v>1</x:v>
      </x:c>
      <x:c r="Z299" t="n">
        <x:f>IF(L299="Draw/Unknown",1,0)</x:f>
        <x:v>0</x:v>
      </x:c>
      <x:c r="AA299" s="16" t="str">
        <x:f>IF(OR(N299="",O299=""),"",N299-O299)</x:f>
      </x:c>
      <x:c r="AB299" s="16" t="n">
        <x:f>IF(T299=0,S299+U299,(S299+U299)/T299)</x:f>
        <x:v>1.2857142857142858</x:v>
      </x:c>
      <x:c r="AC299" t="n">
        <x:f>S299+U299</x:f>
        <x:v>9</x:v>
      </x:c>
      <x:c r="AD299" t="n">
        <x:f>IF(T299=0,1,0)</x:f>
        <x:v>0</x:v>
      </x:c>
      <x:c r="AE299" t="str">
        <x:f>IF(R299&gt;0,"Gain",IF(R299&lt;0,"Loss","Neutral"))</x:f>
        <x:v>Loss</x:v>
      </x:c>
    </x:row>
    <x:row r="300">
      <x:c r="A300" t="n">
        <x:v>299</x:v>
      </x:c>
      <x:c r="B300" s="12" t="n">
        <x:v>46106</x:v>
      </x:c>
      <x:c r="C300" t="str">
        <x:v>Mar 25</x:v>
      </x:c>
      <x:c r="D300" t="n">
        <x:v>8</x:v>
      </x:c>
      <x:c r="E300" t="n">
        <x:v>3</x:v>
      </x:c>
      <x:c r="F300" s="14" t="n">
        <x:v>4</x:v>
      </x:c>
      <x:c r="G300" t="str">
        <x:v>2mo ago</x:v>
      </x:c>
      <x:c r="H300" t="str">
        <x:v>Competitive</x:v>
      </x:c>
      <x:c r="I300" t="str">
        <x:v>Convergence</x:v>
      </x:c>
      <x:c r="J300" t="str">
        <x:v>Central Park</x:v>
      </x:c>
      <x:c r="K300" t="str">
        <x:v>Invisible Woman</x:v>
      </x:c>
      <x:c r="L300" t="str">
        <x:v>Loss</x:v>
      </x:c>
      <x:c r="M300" t="str"/>
      <x:c r="N300" t="n">
        <x:v>3</x:v>
      </x:c>
      <x:c r="O300" t="n">
        <x:v>2</x:v>
      </x:c>
      <x:c r="P300" t="str">
        <x:v>Diamond I</x:v>
      </x:c>
      <x:c r="Q300" t="n">
        <x:v>4381</x:v>
      </x:c>
      <x:c r="R300" s="14" t="n">
        <x:v>-21</x:v>
      </x:c>
      <x:c r="S300" t="n">
        <x:v>22</x:v>
      </x:c>
      <x:c r="T300" t="n">
        <x:v>14</x:v>
      </x:c>
      <x:c r="U300" t="n">
        <x:v>21</x:v>
      </x:c>
      <x:c r="V300" s="16" t="n">
        <x:v>3.07</x:v>
      </x:c>
      <x:c r="W300" t="str">
        <x:v>Parsed from Tracker.gg MHTML/PDF export; competitive rows only.</x:v>
      </x:c>
      <x:c r="X300" t="n">
        <x:f>IF(L300="Win",1,0)</x:f>
        <x:v>0</x:v>
      </x:c>
      <x:c r="Y300" s="14" t="n">
        <x:f>IF(L300="Loss",1,0)</x:f>
        <x:v>1</x:v>
      </x:c>
      <x:c r="Z300" t="n">
        <x:f>IF(L300="Draw/Unknown",1,0)</x:f>
        <x:v>0</x:v>
      </x:c>
      <x:c r="AA300" s="16" t="n">
        <x:f>IF(OR(N300="",O300=""),"",N300-O300)</x:f>
        <x:v>1</x:v>
      </x:c>
      <x:c r="AB300" s="16" t="n">
        <x:f>IF(T300=0,S300+U300,(S300+U300)/T300)</x:f>
        <x:v>3.0714285714285716</x:v>
      </x:c>
      <x:c r="AC300" t="n">
        <x:f>S300+U300</x:f>
        <x:v>43</x:v>
      </x:c>
      <x:c r="AD300" t="n">
        <x:f>IF(T300=0,1,0)</x:f>
        <x:v>0</x:v>
      </x:c>
      <x:c r="AE300" t="str">
        <x:f>IF(R300&gt;0,"Gain",IF(R300&lt;0,"Loss","Neutral"))</x:f>
        <x:v>Loss</x:v>
      </x:c>
    </x:row>
    <x:row r="301">
      <x:c r="A301" t="n">
        <x:v>300</x:v>
      </x:c>
      <x:c r="B301" s="12" t="n">
        <x:v>46106</x:v>
      </x:c>
      <x:c r="C301" t="str">
        <x:v>Mar 25</x:v>
      </x:c>
      <x:c r="D301" t="n">
        <x:v>8</x:v>
      </x:c>
      <x:c r="E301" t="n">
        <x:v>3</x:v>
      </x:c>
      <x:c r="F301" s="14" t="n">
        <x:v>4</x:v>
      </x:c>
      <x:c r="G301" t="str">
        <x:v>2mo ago</x:v>
      </x:c>
      <x:c r="H301" t="str">
        <x:v>Competitive</x:v>
      </x:c>
      <x:c r="I301" t="str">
        <x:v>Convoy</x:v>
      </x:c>
      <x:c r="J301" t="str">
        <x:v>Yggdrasill Path</x:v>
      </x:c>
      <x:c r="K301" t="str">
        <x:v>Peni Parker</x:v>
      </x:c>
      <x:c r="L301" t="str">
        <x:v>Win</x:v>
      </x:c>
      <x:c r="M301" t="str">
        <x:v>MVP</x:v>
      </x:c>
      <x:c r="N301" t="n">
        <x:v>0</x:v>
      </x:c>
      <x:c r="O301" t="n">
        <x:v>0</x:v>
      </x:c>
      <x:c r="P301" t="str">
        <x:v>Diamond I</x:v>
      </x:c>
      <x:c r="Q301" t="n">
        <x:v>4402</x:v>
      </x:c>
      <x:c r="R301" s="14" t="n">
        <x:v>24</x:v>
      </x:c>
      <x:c r="S301" t="n">
        <x:v>15</x:v>
      </x:c>
      <x:c r="T301" t="n">
        <x:v>0</x:v>
      </x:c>
      <x:c r="U301" t="n">
        <x:v>15</x:v>
      </x:c>
      <x:c r="V301" s="16" t="n">
        <x:v>30</x:v>
      </x:c>
      <x:c r="W301" t="str">
        <x:v>Parsed from Tracker.gg MHTML/PDF export; competitive rows only.</x:v>
      </x:c>
      <x:c r="X301" t="n">
        <x:f>IF(L301="Win",1,0)</x:f>
        <x:v>1</x:v>
      </x:c>
      <x:c r="Y301" s="14" t="n">
        <x:f>IF(L301="Loss",1,0)</x:f>
        <x:v>0</x:v>
      </x:c>
      <x:c r="Z301" t="n">
        <x:f>IF(L301="Draw/Unknown",1,0)</x:f>
        <x:v>0</x:v>
      </x:c>
      <x:c r="AA301" s="16" t="str">
        <x:f>IF(OR(N301="",O301=""),"",N301-O301)</x:f>
      </x:c>
      <x:c r="AB301" s="16" t="n">
        <x:f>IF(T301=0,S301+U301,(S301+U301)/T301)</x:f>
        <x:v>30</x:v>
      </x:c>
      <x:c r="AC301" t="n">
        <x:f>S301+U301</x:f>
        <x:v>30</x:v>
      </x:c>
      <x:c r="AD301" t="n">
        <x:f>IF(T301=0,1,0)</x:f>
        <x:v>1</x:v>
      </x:c>
      <x:c r="AE301" t="str">
        <x:f>IF(R301&gt;0,"Gain",IF(R301&lt;0,"Loss","Neutral"))</x:f>
        <x:v>Gain</x:v>
      </x:c>
    </x:row>
    <x:row r="302">
      <x:c r="A302" t="n">
        <x:v>301</x:v>
      </x:c>
      <x:c r="B302" s="12" t="n">
        <x:v>46106</x:v>
      </x:c>
      <x:c r="C302" t="str">
        <x:v>Mar 25</x:v>
      </x:c>
      <x:c r="D302" t="n">
        <x:v>8</x:v>
      </x:c>
      <x:c r="E302" t="n">
        <x:v>3</x:v>
      </x:c>
      <x:c r="F302" s="14" t="n">
        <x:v>4</x:v>
      </x:c>
      <x:c r="G302" t="str">
        <x:v>2mo ago</x:v>
      </x:c>
      <x:c r="H302" t="str">
        <x:v>Competitive</x:v>
      </x:c>
      <x:c r="I302" t="str">
        <x:v>Convergence</x:v>
      </x:c>
      <x:c r="J302" t="str">
        <x:v>Heart Of Heaven</x:v>
      </x:c>
      <x:c r="K302" t="str">
        <x:v>The Thing</x:v>
      </x:c>
      <x:c r="L302" t="str">
        <x:v>Win</x:v>
      </x:c>
      <x:c r="M302" t="str"/>
      <x:c r="N302" t="n">
        <x:v>3</x:v>
      </x:c>
      <x:c r="O302" t="n">
        <x:v>1</x:v>
      </x:c>
      <x:c r="P302" t="str">
        <x:v>Diamond II</x:v>
      </x:c>
      <x:c r="Q302" t="n">
        <x:v>4377</x:v>
      </x:c>
      <x:c r="R302" s="14" t="n">
        <x:v>22</x:v>
      </x:c>
      <x:c r="S302" t="n">
        <x:v>25</x:v>
      </x:c>
      <x:c r="T302" t="n">
        <x:v>6</x:v>
      </x:c>
      <x:c r="U302" t="n">
        <x:v>14</x:v>
      </x:c>
      <x:c r="V302" s="16" t="n">
        <x:v>6.5</x:v>
      </x:c>
      <x:c r="W302" t="str">
        <x:v>Parsed from Tracker.gg MHTML/PDF export; competitive rows only.</x:v>
      </x:c>
      <x:c r="X302" t="n">
        <x:f>IF(L302="Win",1,0)</x:f>
        <x:v>1</x:v>
      </x:c>
      <x:c r="Y302" s="14" t="n">
        <x:f>IF(L302="Loss",1,0)</x:f>
        <x:v>0</x:v>
      </x:c>
      <x:c r="Z302" t="n">
        <x:f>IF(L302="Draw/Unknown",1,0)</x:f>
        <x:v>0</x:v>
      </x:c>
      <x:c r="AA302" s="16" t="n">
        <x:f>IF(OR(N302="",O302=""),"",N302-O302)</x:f>
        <x:v>2</x:v>
      </x:c>
      <x:c r="AB302" s="16" t="n">
        <x:f>IF(T302=0,S302+U302,(S302+U302)/T302)</x:f>
        <x:v>6.5</x:v>
      </x:c>
      <x:c r="AC302" t="n">
        <x:f>S302+U302</x:f>
        <x:v>39</x:v>
      </x:c>
      <x:c r="AD302" t="n">
        <x:f>IF(T302=0,1,0)</x:f>
        <x:v>0</x:v>
      </x:c>
      <x:c r="AE302" t="str">
        <x:f>IF(R302&gt;0,"Gain",IF(R302&lt;0,"Loss","Neutral"))</x:f>
        <x:v>Gain</x:v>
      </x:c>
    </x:row>
    <x:row r="303">
      <x:c r="A303" t="n">
        <x:v>302</x:v>
      </x:c>
      <x:c r="B303" s="12" t="n">
        <x:v>46106</x:v>
      </x:c>
      <x:c r="C303" t="str">
        <x:v>Mar 25</x:v>
      </x:c>
      <x:c r="D303" t="n">
        <x:v>8</x:v>
      </x:c>
      <x:c r="E303" t="n">
        <x:v>3</x:v>
      </x:c>
      <x:c r="F303" s="14" t="n">
        <x:v>4</x:v>
      </x:c>
      <x:c r="G303" t="str">
        <x:v>2mo ago</x:v>
      </x:c>
      <x:c r="H303" t="str">
        <x:v>Competitive</x:v>
      </x:c>
      <x:c r="I303" t="str">
        <x:v>Convergence</x:v>
      </x:c>
      <x:c r="J303" t="str">
        <x:v>Symbiotic Surface</x:v>
      </x:c>
      <x:c r="K303" t="str">
        <x:v>Squirrel Girl</x:v>
      </x:c>
      <x:c r="L303" t="str">
        <x:v>Win</x:v>
      </x:c>
      <x:c r="M303" t="str"/>
      <x:c r="N303" t="n">
        <x:v>1</x:v>
      </x:c>
      <x:c r="O303" t="n">
        <x:v>2</x:v>
      </x:c>
      <x:c r="P303" t="str">
        <x:v>Diamond II</x:v>
      </x:c>
      <x:c r="Q303" t="n">
        <x:v>4354</x:v>
      </x:c>
      <x:c r="R303" s="14" t="n">
        <x:v>26</x:v>
      </x:c>
      <x:c r="S303" t="n">
        <x:v>35</x:v>
      </x:c>
      <x:c r="T303" t="n">
        <x:v>6</x:v>
      </x:c>
      <x:c r="U303" t="n">
        <x:v>3</x:v>
      </x:c>
      <x:c r="V303" s="16" t="n">
        <x:v>6.33</x:v>
      </x:c>
      <x:c r="W303" t="str">
        <x:v>Parsed from Tracker.gg MHTML/PDF export; competitive rows only.</x:v>
      </x:c>
      <x:c r="X303" t="n">
        <x:f>IF(L303="Win",1,0)</x:f>
        <x:v>1</x:v>
      </x:c>
      <x:c r="Y303" s="14" t="n">
        <x:f>IF(L303="Loss",1,0)</x:f>
        <x:v>0</x:v>
      </x:c>
      <x:c r="Z303" t="n">
        <x:f>IF(L303="Draw/Unknown",1,0)</x:f>
        <x:v>0</x:v>
      </x:c>
      <x:c r="AA303" s="16" t="n">
        <x:f>IF(OR(N303="",O303=""),"",N303-O303)</x:f>
        <x:v>-1</x:v>
      </x:c>
      <x:c r="AB303" s="16" t="n">
        <x:f>IF(T303=0,S303+U303,(S303+U303)/T303)</x:f>
        <x:v>6.333333333333333</x:v>
      </x:c>
      <x:c r="AC303" t="n">
        <x:f>S303+U303</x:f>
        <x:v>38</x:v>
      </x:c>
      <x:c r="AD303" t="n">
        <x:f>IF(T303=0,1,0)</x:f>
        <x:v>0</x:v>
      </x:c>
      <x:c r="AE303" t="str">
        <x:f>IF(R303&gt;0,"Gain",IF(R303&lt;0,"Loss","Neutral"))</x:f>
        <x:v>Gain</x:v>
      </x:c>
    </x:row>
    <x:row r="304">
      <x:c r="A304" t="n">
        <x:v>303</x:v>
      </x:c>
      <x:c r="B304" s="12" t="n">
        <x:v>46103</x:v>
      </x:c>
      <x:c r="C304" t="str">
        <x:v>Mar 22</x:v>
      </x:c>
      <x:c r="D304" t="n">
        <x:v>17</x:v>
      </x:c>
      <x:c r="E304" t="n">
        <x:v>12</x:v>
      </x:c>
      <x:c r="F304" s="14" t="n">
        <x:v>5</x:v>
      </x:c>
      <x:c r="G304" t="str">
        <x:v>2mo ago</x:v>
      </x:c>
      <x:c r="H304" t="str">
        <x:v>Competitive</x:v>
      </x:c>
      <x:c r="I304" t="str">
        <x:v>Convoy</x:v>
      </x:c>
      <x:c r="J304" t="str">
        <x:v>Spider-Islands</x:v>
      </x:c>
      <x:c r="K304" t="str">
        <x:v>Captain America</x:v>
      </x:c>
      <x:c r="L304" t="str">
        <x:v>Win</x:v>
      </x:c>
      <x:c r="M304" t="str"/>
      <x:c r="N304" t="n">
        <x:v>2</x:v>
      </x:c>
      <x:c r="O304" t="n">
        <x:v>1</x:v>
      </x:c>
      <x:c r="P304" t="str">
        <x:v>Diamond II</x:v>
      </x:c>
      <x:c r="Q304" t="n">
        <x:v>4328</x:v>
      </x:c>
      <x:c r="R304" s="14" t="n">
        <x:v>22</x:v>
      </x:c>
      <x:c r="S304" t="n">
        <x:v>31</x:v>
      </x:c>
      <x:c r="T304" t="n">
        <x:v>11</x:v>
      </x:c>
      <x:c r="U304" t="n">
        <x:v>4</x:v>
      </x:c>
      <x:c r="V304" s="16" t="n">
        <x:v>3.18</x:v>
      </x:c>
      <x:c r="W304" t="str">
        <x:v>Parsed from Tracker.gg MHTML/PDF export; competitive rows only.</x:v>
      </x:c>
      <x:c r="X304" t="n">
        <x:f>IF(L304="Win",1,0)</x:f>
        <x:v>1</x:v>
      </x:c>
      <x:c r="Y304" s="14" t="n">
        <x:f>IF(L304="Loss",1,0)</x:f>
        <x:v>0</x:v>
      </x:c>
      <x:c r="Z304" t="n">
        <x:f>IF(L304="Draw/Unknown",1,0)</x:f>
        <x:v>0</x:v>
      </x:c>
      <x:c r="AA304" s="16" t="n">
        <x:f>IF(OR(N304="",O304=""),"",N304-O304)</x:f>
        <x:v>1</x:v>
      </x:c>
      <x:c r="AB304" s="16" t="n">
        <x:f>IF(T304=0,S304+U304,(S304+U304)/T304)</x:f>
        <x:v>3.1818181818181817</x:v>
      </x:c>
      <x:c r="AC304" t="n">
        <x:f>S304+U304</x:f>
        <x:v>35</x:v>
      </x:c>
      <x:c r="AD304" t="n">
        <x:f>IF(T304=0,1,0)</x:f>
        <x:v>0</x:v>
      </x:c>
      <x:c r="AE304" t="str">
        <x:f>IF(R304&gt;0,"Gain",IF(R304&lt;0,"Loss","Neutral"))</x:f>
        <x:v>Gain</x:v>
      </x:c>
    </x:row>
    <x:row r="305">
      <x:c r="A305" t="n">
        <x:v>304</x:v>
      </x:c>
      <x:c r="B305" s="12" t="n">
        <x:v>46103</x:v>
      </x:c>
      <x:c r="C305" t="str">
        <x:v>Mar 22</x:v>
      </x:c>
      <x:c r="D305" t="n">
        <x:v>17</x:v>
      </x:c>
      <x:c r="E305" t="n">
        <x:v>12</x:v>
      </x:c>
      <x:c r="F305" s="14" t="n">
        <x:v>5</x:v>
      </x:c>
      <x:c r="G305" t="str">
        <x:v>2mo ago</x:v>
      </x:c>
      <x:c r="H305" t="str">
        <x:v>Competitive</x:v>
      </x:c>
      <x:c r="I305" t="str">
        <x:v>Convoy</x:v>
      </x:c>
      <x:c r="J305" t="str">
        <x:v>Spider-Islands</x:v>
      </x:c>
      <x:c r="K305" t="str">
        <x:v>Magneto</x:v>
      </x:c>
      <x:c r="L305" t="str">
        <x:v>Loss</x:v>
      </x:c>
      <x:c r="M305" t="str"/>
      <x:c r="N305" t="n">
        <x:v>0</x:v>
      </x:c>
      <x:c r="O305" t="n">
        <x:v>1</x:v>
      </x:c>
      <x:c r="P305" t="str">
        <x:v>Diamond II</x:v>
      </x:c>
      <x:c r="Q305" t="n">
        <x:v>4305</x:v>
      </x:c>
      <x:c r="R305" s="14" t="n">
        <x:v>-23</x:v>
      </x:c>
      <x:c r="S305" t="n">
        <x:v>2</x:v>
      </x:c>
      <x:c r="T305" t="n">
        <x:v>8</x:v>
      </x:c>
      <x:c r="U305" t="n">
        <x:v>0</x:v>
      </x:c>
      <x:c r="V305" s="16" t="n">
        <x:v>0.25</x:v>
      </x:c>
      <x:c r="W305" t="str">
        <x:v>Parsed from Tracker.gg MHTML/PDF export; competitive rows only.</x:v>
      </x:c>
      <x:c r="X305" t="n">
        <x:f>IF(L305="Win",1,0)</x:f>
        <x:v>0</x:v>
      </x:c>
      <x:c r="Y305" s="14" t="n">
        <x:f>IF(L305="Loss",1,0)</x:f>
        <x:v>1</x:v>
      </x:c>
      <x:c r="Z305" t="n">
        <x:f>IF(L305="Draw/Unknown",1,0)</x:f>
        <x:v>0</x:v>
      </x:c>
      <x:c r="AA305" s="16" t="str">
        <x:f>IF(OR(N305="",O305=""),"",N305-O305)</x:f>
      </x:c>
      <x:c r="AB305" s="16" t="n">
        <x:f>IF(T305=0,S305+U305,(S305+U305)/T305)</x:f>
        <x:v>0.25</x:v>
      </x:c>
      <x:c r="AC305" t="n">
        <x:f>S305+U305</x:f>
        <x:v>2</x:v>
      </x:c>
      <x:c r="AD305" t="n">
        <x:f>IF(T305=0,1,0)</x:f>
        <x:v>0</x:v>
      </x:c>
      <x:c r="AE305" t="str">
        <x:f>IF(R305&gt;0,"Gain",IF(R305&lt;0,"Loss","Neutral"))</x:f>
        <x:v>Loss</x:v>
      </x:c>
    </x:row>
    <x:row r="306">
      <x:c r="A306" t="n">
        <x:v>305</x:v>
      </x:c>
      <x:c r="B306" s="12" t="n">
        <x:v>46103</x:v>
      </x:c>
      <x:c r="C306" t="str">
        <x:v>Mar 22</x:v>
      </x:c>
      <x:c r="D306" t="n">
        <x:v>17</x:v>
      </x:c>
      <x:c r="E306" t="n">
        <x:v>12</x:v>
      </x:c>
      <x:c r="F306" s="14" t="n">
        <x:v>5</x:v>
      </x:c>
      <x:c r="G306" t="str">
        <x:v>2mo ago</x:v>
      </x:c>
      <x:c r="H306" t="str">
        <x:v>Competitive</x:v>
      </x:c>
      <x:c r="I306" t="str">
        <x:v>Domination</x:v>
      </x:c>
      <x:c r="J306" t="str">
        <x:v>Hell's Heaven</x:v>
      </x:c>
      <x:c r="K306" t="str">
        <x:v>The Thing</x:v>
      </x:c>
      <x:c r="L306" t="str">
        <x:v>Win</x:v>
      </x:c>
      <x:c r="M306" t="str"/>
      <x:c r="N306" t="n">
        <x:v>2</x:v>
      </x:c>
      <x:c r="O306" t="n">
        <x:v>0</x:v>
      </x:c>
      <x:c r="P306" t="str">
        <x:v>Diamond II</x:v>
      </x:c>
      <x:c r="Q306" t="n">
        <x:v>4328</x:v>
      </x:c>
      <x:c r="R306" s="14" t="n">
        <x:v>22</x:v>
      </x:c>
      <x:c r="S306" t="n">
        <x:v>16</x:v>
      </x:c>
      <x:c r="T306" t="n">
        <x:v>7</x:v>
      </x:c>
      <x:c r="U306" t="n">
        <x:v>10</x:v>
      </x:c>
      <x:c r="V306" s="16" t="n">
        <x:v>3.71</x:v>
      </x:c>
      <x:c r="W306" t="str">
        <x:v>Parsed from Tracker.gg MHTML/PDF export; competitive rows only.</x:v>
      </x:c>
      <x:c r="X306" t="n">
        <x:f>IF(L306="Win",1,0)</x:f>
        <x:v>1</x:v>
      </x:c>
      <x:c r="Y306" s="14" t="n">
        <x:f>IF(L306="Loss",1,0)</x:f>
        <x:v>0</x:v>
      </x:c>
      <x:c r="Z306" t="n">
        <x:f>IF(L306="Draw/Unknown",1,0)</x:f>
        <x:v>0</x:v>
      </x:c>
      <x:c r="AA306" s="16" t="str">
        <x:f>IF(OR(N306="",O306=""),"",N306-O306)</x:f>
      </x:c>
      <x:c r="AB306" s="16" t="n">
        <x:f>IF(T306=0,S306+U306,(S306+U306)/T306)</x:f>
        <x:v>3.7142857142857144</x:v>
      </x:c>
      <x:c r="AC306" t="n">
        <x:f>S306+U306</x:f>
        <x:v>26</x:v>
      </x:c>
      <x:c r="AD306" t="n">
        <x:f>IF(T306=0,1,0)</x:f>
        <x:v>0</x:v>
      </x:c>
      <x:c r="AE306" t="str">
        <x:f>IF(R306&gt;0,"Gain",IF(R306&lt;0,"Loss","Neutral"))</x:f>
        <x:v>Gain</x:v>
      </x:c>
    </x:row>
    <x:row r="307">
      <x:c r="A307" t="n">
        <x:v>306</x:v>
      </x:c>
      <x:c r="B307" s="12" t="n">
        <x:v>46103</x:v>
      </x:c>
      <x:c r="C307" t="str">
        <x:v>Mar 22</x:v>
      </x:c>
      <x:c r="D307" t="n">
        <x:v>17</x:v>
      </x:c>
      <x:c r="E307" t="n">
        <x:v>12</x:v>
      </x:c>
      <x:c r="F307" s="14" t="n">
        <x:v>5</x:v>
      </x:c>
      <x:c r="G307" t="str">
        <x:v>2mo ago</x:v>
      </x:c>
      <x:c r="H307" t="str">
        <x:v>Competitive</x:v>
      </x:c>
      <x:c r="I307" t="str">
        <x:v>Convoy</x:v>
      </x:c>
      <x:c r="J307" t="str">
        <x:v>Arakko</x:v>
      </x:c>
      <x:c r="K307" t="str">
        <x:v>Groot</x:v>
      </x:c>
      <x:c r="L307" t="str">
        <x:v>Win</x:v>
      </x:c>
      <x:c r="M307" t="str"/>
      <x:c r="N307" t="n">
        <x:v>1</x:v>
      </x:c>
      <x:c r="O307" t="n">
        <x:v>0</x:v>
      </x:c>
      <x:c r="P307" t="str">
        <x:v>Diamond II</x:v>
      </x:c>
      <x:c r="Q307" t="n">
        <x:v>4305</x:v>
      </x:c>
      <x:c r="R307" s="14" t="n">
        <x:v>27</x:v>
      </x:c>
      <x:c r="S307" t="n">
        <x:v>21</x:v>
      </x:c>
      <x:c r="T307" t="n">
        <x:v>10</x:v>
      </x:c>
      <x:c r="U307" t="n">
        <x:v>16</x:v>
      </x:c>
      <x:c r="V307" s="16" t="n">
        <x:v>3.7</x:v>
      </x:c>
      <x:c r="W307" t="str">
        <x:v>Parsed from Tracker.gg MHTML/PDF export; competitive rows only.</x:v>
      </x:c>
      <x:c r="X307" t="n">
        <x:f>IF(L307="Win",1,0)</x:f>
        <x:v>1</x:v>
      </x:c>
      <x:c r="Y307" s="14" t="n">
        <x:f>IF(L307="Loss",1,0)</x:f>
        <x:v>0</x:v>
      </x:c>
      <x:c r="Z307" t="n">
        <x:f>IF(L307="Draw/Unknown",1,0)</x:f>
        <x:v>0</x:v>
      </x:c>
      <x:c r="AA307" s="16" t="str">
        <x:f>IF(OR(N307="",O307=""),"",N307-O307)</x:f>
      </x:c>
      <x:c r="AB307" s="16" t="n">
        <x:f>IF(T307=0,S307+U307,(S307+U307)/T307)</x:f>
        <x:v>3.7</x:v>
      </x:c>
      <x:c r="AC307" t="n">
        <x:f>S307+U307</x:f>
        <x:v>37</x:v>
      </x:c>
      <x:c r="AD307" t="n">
        <x:f>IF(T307=0,1,0)</x:f>
        <x:v>0</x:v>
      </x:c>
      <x:c r="AE307" t="str">
        <x:f>IF(R307&gt;0,"Gain",IF(R307&lt;0,"Loss","Neutral"))</x:f>
        <x:v>Gain</x:v>
      </x:c>
    </x:row>
    <x:row r="308">
      <x:c r="A308" t="n">
        <x:v>307</x:v>
      </x:c>
      <x:c r="B308" s="12" t="n">
        <x:v>46103</x:v>
      </x:c>
      <x:c r="C308" t="str">
        <x:v>Mar 22</x:v>
      </x:c>
      <x:c r="D308" t="n">
        <x:v>17</x:v>
      </x:c>
      <x:c r="E308" t="n">
        <x:v>12</x:v>
      </x:c>
      <x:c r="F308" s="14" t="n">
        <x:v>5</x:v>
      </x:c>
      <x:c r="G308" t="str">
        <x:v>2mo ago</x:v>
      </x:c>
      <x:c r="H308" t="str">
        <x:v>Competitive</x:v>
      </x:c>
      <x:c r="I308" t="str">
        <x:v>Domination</x:v>
      </x:c>
      <x:c r="J308" t="str">
        <x:v>Birnin T'Challa</x:v>
      </x:c>
      <x:c r="K308" t="str">
        <x:v>Peni Parker</x:v>
      </x:c>
      <x:c r="L308" t="str">
        <x:v>Loss</x:v>
      </x:c>
      <x:c r="M308" t="str"/>
      <x:c r="N308" t="n">
        <x:v>1</x:v>
      </x:c>
      <x:c r="O308" t="n">
        <x:v>2</x:v>
      </x:c>
      <x:c r="P308" t="str">
        <x:v>Diamond II</x:v>
      </x:c>
      <x:c r="Q308" t="n">
        <x:v>4277</x:v>
      </x:c>
      <x:c r="R308" s="14" t="n">
        <x:v>-22</x:v>
      </x:c>
      <x:c r="S308" t="n">
        <x:v>15</x:v>
      </x:c>
      <x:c r="T308" t="n">
        <x:v>7</x:v>
      </x:c>
      <x:c r="U308" t="n">
        <x:v>11</x:v>
      </x:c>
      <x:c r="V308" s="16" t="n">
        <x:v>3.71</x:v>
      </x:c>
      <x:c r="W308" t="str">
        <x:v>Parsed from Tracker.gg MHTML/PDF export; competitive rows only.</x:v>
      </x:c>
      <x:c r="X308" t="n">
        <x:f>IF(L308="Win",1,0)</x:f>
        <x:v>0</x:v>
      </x:c>
      <x:c r="Y308" s="14" t="n">
        <x:f>IF(L308="Loss",1,0)</x:f>
        <x:v>1</x:v>
      </x:c>
      <x:c r="Z308" t="n">
        <x:f>IF(L308="Draw/Unknown",1,0)</x:f>
        <x:v>0</x:v>
      </x:c>
      <x:c r="AA308" s="16" t="n">
        <x:f>IF(OR(N308="",O308=""),"",N308-O308)</x:f>
        <x:v>-1</x:v>
      </x:c>
      <x:c r="AB308" s="16" t="n">
        <x:f>IF(T308=0,S308+U308,(S308+U308)/T308)</x:f>
        <x:v>3.7142857142857144</x:v>
      </x:c>
      <x:c r="AC308" t="n">
        <x:f>S308+U308</x:f>
        <x:v>26</x:v>
      </x:c>
      <x:c r="AD308" t="n">
        <x:f>IF(T308=0,1,0)</x:f>
        <x:v>0</x:v>
      </x:c>
      <x:c r="AE308" t="str">
        <x:f>IF(R308&gt;0,"Gain",IF(R308&lt;0,"Loss","Neutral"))</x:f>
        <x:v>Loss</x:v>
      </x:c>
    </x:row>
    <x:row r="309">
      <x:c r="A309" t="n">
        <x:v>308</x:v>
      </x:c>
      <x:c r="B309" s="12" t="n">
        <x:v>46103</x:v>
      </x:c>
      <x:c r="C309" t="str">
        <x:v>Mar 22</x:v>
      </x:c>
      <x:c r="D309" t="n">
        <x:v>17</x:v>
      </x:c>
      <x:c r="E309" t="n">
        <x:v>12</x:v>
      </x:c>
      <x:c r="F309" s="14" t="n">
        <x:v>5</x:v>
      </x:c>
      <x:c r="G309" t="str">
        <x:v>2mo ago</x:v>
      </x:c>
      <x:c r="H309" t="str">
        <x:v>Competitive</x:v>
      </x:c>
      <x:c r="I309" t="str">
        <x:v>Domination</x:v>
      </x:c>
      <x:c r="J309" t="str">
        <x:v>Krakoa</x:v>
      </x:c>
      <x:c r="K309" t="str">
        <x:v>Magneto</x:v>
      </x:c>
      <x:c r="L309" t="str">
        <x:v>Loss</x:v>
      </x:c>
      <x:c r="M309" t="str"/>
      <x:c r="N309" t="n">
        <x:v>0</x:v>
      </x:c>
      <x:c r="O309" t="n">
        <x:v>2</x:v>
      </x:c>
      <x:c r="P309" t="str">
        <x:v>Diamond II</x:v>
      </x:c>
      <x:c r="Q309" t="n">
        <x:v>4299</x:v>
      </x:c>
      <x:c r="R309" s="14" t="n">
        <x:v>-19</x:v>
      </x:c>
      <x:c r="S309" t="n">
        <x:v>4</x:v>
      </x:c>
      <x:c r="T309" t="n">
        <x:v>5</x:v>
      </x:c>
      <x:c r="U309" t="n">
        <x:v>4</x:v>
      </x:c>
      <x:c r="V309" s="16" t="n">
        <x:v>1.6</x:v>
      </x:c>
      <x:c r="W309" t="str">
        <x:v>Parsed from Tracker.gg MHTML/PDF export; competitive rows only.</x:v>
      </x:c>
      <x:c r="X309" t="n">
        <x:f>IF(L309="Win",1,0)</x:f>
        <x:v>0</x:v>
      </x:c>
      <x:c r="Y309" s="14" t="n">
        <x:f>IF(L309="Loss",1,0)</x:f>
        <x:v>1</x:v>
      </x:c>
      <x:c r="Z309" t="n">
        <x:f>IF(L309="Draw/Unknown",1,0)</x:f>
        <x:v>0</x:v>
      </x:c>
      <x:c r="AA309" s="16" t="str">
        <x:f>IF(OR(N309="",O309=""),"",N309-O309)</x:f>
      </x:c>
      <x:c r="AB309" s="16" t="n">
        <x:f>IF(T309=0,S309+U309,(S309+U309)/T309)</x:f>
        <x:v>1.6</x:v>
      </x:c>
      <x:c r="AC309" t="n">
        <x:f>S309+U309</x:f>
        <x:v>8</x:v>
      </x:c>
      <x:c r="AD309" t="n">
        <x:f>IF(T309=0,1,0)</x:f>
        <x:v>0</x:v>
      </x:c>
      <x:c r="AE309" t="str">
        <x:f>IF(R309&gt;0,"Gain",IF(R309&lt;0,"Loss","Neutral"))</x:f>
        <x:v>Loss</x:v>
      </x:c>
    </x:row>
    <x:row r="310">
      <x:c r="A310" t="n">
        <x:v>309</x:v>
      </x:c>
      <x:c r="B310" s="12" t="n">
        <x:v>46103</x:v>
      </x:c>
      <x:c r="C310" t="str">
        <x:v>Mar 22</x:v>
      </x:c>
      <x:c r="D310" t="n">
        <x:v>17</x:v>
      </x:c>
      <x:c r="E310" t="n">
        <x:v>12</x:v>
      </x:c>
      <x:c r="F310" s="14" t="n">
        <x:v>5</x:v>
      </x:c>
      <x:c r="G310" t="str">
        <x:v>2mo ago</x:v>
      </x:c>
      <x:c r="H310" t="str">
        <x:v>Competitive</x:v>
      </x:c>
      <x:c r="I310" t="str">
        <x:v>Convoy</x:v>
      </x:c>
      <x:c r="J310" t="str">
        <x:v>Museum of Contemplation</x:v>
      </x:c>
      <x:c r="K310" t="str">
        <x:v>Peni Parker</x:v>
      </x:c>
      <x:c r="L310" t="str">
        <x:v>Win</x:v>
      </x:c>
      <x:c r="M310" t="str">
        <x:v>MVP</x:v>
      </x:c>
      <x:c r="N310" t="n">
        <x:v>0</x:v>
      </x:c>
      <x:c r="O310" t="n">
        <x:v>1</x:v>
      </x:c>
      <x:c r="P310" t="str">
        <x:v>Diamond II</x:v>
      </x:c>
      <x:c r="Q310" t="n">
        <x:v>4318</x:v>
      </x:c>
      <x:c r="R310" s="14" t="n">
        <x:v>25</x:v>
      </x:c>
      <x:c r="S310" t="n">
        <x:v>16</x:v>
      </x:c>
      <x:c r="T310" t="n">
        <x:v>2</x:v>
      </x:c>
      <x:c r="U310" t="n">
        <x:v>10</x:v>
      </x:c>
      <x:c r="V310" s="16" t="n">
        <x:v>13</x:v>
      </x:c>
      <x:c r="W310" t="str">
        <x:v>Parsed from Tracker.gg MHTML/PDF export; competitive rows only.</x:v>
      </x:c>
      <x:c r="X310" t="n">
        <x:f>IF(L310="Win",1,0)</x:f>
        <x:v>1</x:v>
      </x:c>
      <x:c r="Y310" s="14" t="n">
        <x:f>IF(L310="Loss",1,0)</x:f>
        <x:v>0</x:v>
      </x:c>
      <x:c r="Z310" t="n">
        <x:f>IF(L310="Draw/Unknown",1,0)</x:f>
        <x:v>0</x:v>
      </x:c>
      <x:c r="AA310" s="16" t="str">
        <x:f>IF(OR(N310="",O310=""),"",N310-O310)</x:f>
      </x:c>
      <x:c r="AB310" s="16" t="n">
        <x:f>IF(T310=0,S310+U310,(S310+U310)/T310)</x:f>
        <x:v>13</x:v>
      </x:c>
      <x:c r="AC310" t="n">
        <x:f>S310+U310</x:f>
        <x:v>26</x:v>
      </x:c>
      <x:c r="AD310" t="n">
        <x:f>IF(T310=0,1,0)</x:f>
        <x:v>0</x:v>
      </x:c>
      <x:c r="AE310" t="str">
        <x:f>IF(R310&gt;0,"Gain",IF(R310&lt;0,"Loss","Neutral"))</x:f>
        <x:v>Gain</x:v>
      </x:c>
    </x:row>
    <x:row r="311">
      <x:c r="A311" t="n">
        <x:v>310</x:v>
      </x:c>
      <x:c r="B311" s="12" t="n">
        <x:v>46103</x:v>
      </x:c>
      <x:c r="C311" t="str">
        <x:v>Mar 22</x:v>
      </x:c>
      <x:c r="D311" t="n">
        <x:v>17</x:v>
      </x:c>
      <x:c r="E311" t="n">
        <x:v>12</x:v>
      </x:c>
      <x:c r="F311" s="14" t="n">
        <x:v>5</x:v>
      </x:c>
      <x:c r="G311" t="str">
        <x:v>2mo ago</x:v>
      </x:c>
      <x:c r="H311" t="str">
        <x:v>Competitive</x:v>
      </x:c>
      <x:c r="I311" t="str">
        <x:v>Convoy</x:v>
      </x:c>
      <x:c r="J311" t="str">
        <x:v>Arakko</x:v>
      </x:c>
      <x:c r="K311" t="str">
        <x:v>The Thing</x:v>
      </x:c>
      <x:c r="L311" t="str">
        <x:v>Win</x:v>
      </x:c>
      <x:c r="M311" t="str">
        <x:v>MVP</x:v>
      </x:c>
      <x:c r="N311" t="n">
        <x:v>3</x:v>
      </x:c>
      <x:c r="O311" t="n">
        <x:v>2</x:v>
      </x:c>
      <x:c r="P311" t="str">
        <x:v>Diamond III</x:v>
      </x:c>
      <x:c r="Q311" t="n">
        <x:v>4292</x:v>
      </x:c>
      <x:c r="R311" s="14" t="n">
        <x:v>26</x:v>
      </x:c>
      <x:c r="S311" t="n">
        <x:v>37</x:v>
      </x:c>
      <x:c r="T311" t="n">
        <x:v>14</x:v>
      </x:c>
      <x:c r="U311" t="n">
        <x:v>11</x:v>
      </x:c>
      <x:c r="V311" s="16" t="n">
        <x:v>3.43</x:v>
      </x:c>
      <x:c r="W311" t="str">
        <x:v>Parsed from Tracker.gg MHTML/PDF export; competitive rows only.</x:v>
      </x:c>
      <x:c r="X311" t="n">
        <x:f>IF(L311="Win",1,0)</x:f>
        <x:v>1</x:v>
      </x:c>
      <x:c r="Y311" s="14" t="n">
        <x:f>IF(L311="Loss",1,0)</x:f>
        <x:v>0</x:v>
      </x:c>
      <x:c r="Z311" t="n">
        <x:f>IF(L311="Draw/Unknown",1,0)</x:f>
        <x:v>0</x:v>
      </x:c>
      <x:c r="AA311" s="16" t="n">
        <x:f>IF(OR(N311="",O311=""),"",N311-O311)</x:f>
        <x:v>1</x:v>
      </x:c>
      <x:c r="AB311" s="16" t="n">
        <x:f>IF(T311=0,S311+U311,(S311+U311)/T311)</x:f>
        <x:v>3.4285714285714284</x:v>
      </x:c>
      <x:c r="AC311" t="n">
        <x:f>S311+U311</x:f>
        <x:v>48</x:v>
      </x:c>
      <x:c r="AD311" t="n">
        <x:f>IF(T311=0,1,0)</x:f>
        <x:v>0</x:v>
      </x:c>
      <x:c r="AE311" t="str">
        <x:f>IF(R311&gt;0,"Gain",IF(R311&lt;0,"Loss","Neutral"))</x:f>
        <x:v>Gain</x:v>
      </x:c>
    </x:row>
    <x:row r="312">
      <x:c r="A312" t="n">
        <x:v>311</x:v>
      </x:c>
      <x:c r="B312" s="12" t="n">
        <x:v>46102</x:v>
      </x:c>
      <x:c r="C312" t="str">
        <x:v>Mar 21</x:v>
      </x:c>
      <x:c r="D312" t="n">
        <x:v>8</x:v>
      </x:c>
      <x:c r="E312" t="n">
        <x:v>5</x:v>
      </x:c>
      <x:c r="F312" s="14" t="n">
        <x:v>3</x:v>
      </x:c>
      <x:c r="G312" t="str">
        <x:v>2mo ago</x:v>
      </x:c>
      <x:c r="H312" t="str">
        <x:v>Competitive</x:v>
      </x:c>
      <x:c r="I312" t="str">
        <x:v>Convergence</x:v>
      </x:c>
      <x:c r="J312" t="str">
        <x:v>Central Park</x:v>
      </x:c>
      <x:c r="K312" t="str">
        <x:v>The Thing</x:v>
      </x:c>
      <x:c r="L312" t="str">
        <x:v>Loss</x:v>
      </x:c>
      <x:c r="M312" t="str"/>
      <x:c r="N312" t="n">
        <x:v>1</x:v>
      </x:c>
      <x:c r="O312" t="n">
        <x:v>2</x:v>
      </x:c>
      <x:c r="P312" t="str">
        <x:v>Diamond III</x:v>
      </x:c>
      <x:c r="Q312" t="n">
        <x:v>4265</x:v>
      </x:c>
      <x:c r="R312" s="14" t="n">
        <x:v>-22</x:v>
      </x:c>
      <x:c r="S312" t="n">
        <x:v>7</x:v>
      </x:c>
      <x:c r="T312" t="n">
        <x:v>13</x:v>
      </x:c>
      <x:c r="U312" t="n">
        <x:v>5</x:v>
      </x:c>
      <x:c r="V312" s="16" t="n">
        <x:v>0.92</x:v>
      </x:c>
      <x:c r="W312" t="str">
        <x:v>Parsed from Tracker.gg MHTML/PDF export; competitive rows only.</x:v>
      </x:c>
      <x:c r="X312" t="n">
        <x:f>IF(L312="Win",1,0)</x:f>
        <x:v>0</x:v>
      </x:c>
      <x:c r="Y312" s="14" t="n">
        <x:f>IF(L312="Loss",1,0)</x:f>
        <x:v>1</x:v>
      </x:c>
      <x:c r="Z312" t="n">
        <x:f>IF(L312="Draw/Unknown",1,0)</x:f>
        <x:v>0</x:v>
      </x:c>
      <x:c r="AA312" s="16" t="n">
        <x:f>IF(OR(N312="",O312=""),"",N312-O312)</x:f>
        <x:v>-1</x:v>
      </x:c>
      <x:c r="AB312" s="16" t="n">
        <x:f>IF(T312=0,S312+U312,(S312+U312)/T312)</x:f>
        <x:v>0.9230769230769231</x:v>
      </x:c>
      <x:c r="AC312" t="n">
        <x:f>S312+U312</x:f>
        <x:v>12</x:v>
      </x:c>
      <x:c r="AD312" t="n">
        <x:f>IF(T312=0,1,0)</x:f>
        <x:v>0</x:v>
      </x:c>
      <x:c r="AE312" t="str">
        <x:f>IF(R312&gt;0,"Gain",IF(R312&lt;0,"Loss","Neutral"))</x:f>
        <x:v>Loss</x:v>
      </x:c>
    </x:row>
    <x:row r="313">
      <x:c r="A313" t="n">
        <x:v>312</x:v>
      </x:c>
      <x:c r="B313" s="12" t="n">
        <x:v>46102</x:v>
      </x:c>
      <x:c r="C313" t="str">
        <x:v>Mar 21</x:v>
      </x:c>
      <x:c r="D313" t="n">
        <x:v>8</x:v>
      </x:c>
      <x:c r="E313" t="n">
        <x:v>5</x:v>
      </x:c>
      <x:c r="F313" s="14" t="n">
        <x:v>3</x:v>
      </x:c>
      <x:c r="G313" t="str">
        <x:v>2mo ago</x:v>
      </x:c>
      <x:c r="H313" t="str">
        <x:v>Competitive</x:v>
      </x:c>
      <x:c r="I313" t="str">
        <x:v>Domination</x:v>
      </x:c>
      <x:c r="J313" t="str">
        <x:v>Celestial Husk</x:v>
      </x:c>
      <x:c r="K313" t="str">
        <x:v>The Thing</x:v>
      </x:c>
      <x:c r="L313" t="str">
        <x:v>Loss</x:v>
      </x:c>
      <x:c r="M313" t="str">
        <x:v>SVP</x:v>
      </x:c>
      <x:c r="N313" t="n">
        <x:v>2</x:v>
      </x:c>
      <x:c r="O313" t="n">
        <x:v>1</x:v>
      </x:c>
      <x:c r="P313" t="str">
        <x:v>Diamond II</x:v>
      </x:c>
      <x:c r="Q313" t="n">
        <x:v>4286</x:v>
      </x:c>
      <x:c r="R313" s="14" t="n">
        <x:v>-16</x:v>
      </x:c>
      <x:c r="S313" t="n">
        <x:v>14</x:v>
      </x:c>
      <x:c r="T313" t="n">
        <x:v>9</x:v>
      </x:c>
      <x:c r="U313" t="n">
        <x:v>7</x:v>
      </x:c>
      <x:c r="V313" s="16" t="n">
        <x:v>2.33</x:v>
      </x:c>
      <x:c r="W313" t="str">
        <x:v>Parsed from Tracker.gg MHTML/PDF export; competitive rows only.</x:v>
      </x:c>
      <x:c r="X313" t="n">
        <x:f>IF(L313="Win",1,0)</x:f>
        <x:v>0</x:v>
      </x:c>
      <x:c r="Y313" s="14" t="n">
        <x:f>IF(L313="Loss",1,0)</x:f>
        <x:v>1</x:v>
      </x:c>
      <x:c r="Z313" t="n">
        <x:f>IF(L313="Draw/Unknown",1,0)</x:f>
        <x:v>0</x:v>
      </x:c>
      <x:c r="AA313" s="16" t="n">
        <x:f>IF(OR(N313="",O313=""),"",N313-O313)</x:f>
        <x:v>1</x:v>
      </x:c>
      <x:c r="AB313" s="16" t="n">
        <x:f>IF(T313=0,S313+U313,(S313+U313)/T313)</x:f>
        <x:v>2.3333333333333335</x:v>
      </x:c>
      <x:c r="AC313" t="n">
        <x:f>S313+U313</x:f>
        <x:v>21</x:v>
      </x:c>
      <x:c r="AD313" t="n">
        <x:f>IF(T313=0,1,0)</x:f>
        <x:v>0</x:v>
      </x:c>
      <x:c r="AE313" t="str">
        <x:f>IF(R313&gt;0,"Gain",IF(R313&lt;0,"Loss","Neutral"))</x:f>
        <x:v>Loss</x:v>
      </x:c>
    </x:row>
    <x:row r="314">
      <x:c r="A314" t="n">
        <x:v>313</x:v>
      </x:c>
      <x:c r="B314" s="12" t="n">
        <x:v>46102</x:v>
      </x:c>
      <x:c r="C314" t="str">
        <x:v>Mar 21</x:v>
      </x:c>
      <x:c r="D314" t="n">
        <x:v>8</x:v>
      </x:c>
      <x:c r="E314" t="n">
        <x:v>5</x:v>
      </x:c>
      <x:c r="F314" s="14" t="n">
        <x:v>3</x:v>
      </x:c>
      <x:c r="G314" t="str">
        <x:v>2mo ago</x:v>
      </x:c>
      <x:c r="H314" t="str">
        <x:v>Competitive</x:v>
      </x:c>
      <x:c r="I314" t="str">
        <x:v>Convergence</x:v>
      </x:c>
      <x:c r="J314" t="str">
        <x:v>Shin-Shibuya</x:v>
      </x:c>
      <x:c r="K314" t="str">
        <x:v>The Thing</x:v>
      </x:c>
      <x:c r="L314" t="str">
        <x:v>Win</x:v>
      </x:c>
      <x:c r="M314" t="str"/>
      <x:c r="N314" t="n">
        <x:v>2</x:v>
      </x:c>
      <x:c r="O314" t="n">
        <x:v>0</x:v>
      </x:c>
      <x:c r="P314" t="str">
        <x:v>Diamond II</x:v>
      </x:c>
      <x:c r="Q314" t="n">
        <x:v>4302</x:v>
      </x:c>
      <x:c r="R314" s="14" t="n">
        <x:v>26</x:v>
      </x:c>
      <x:c r="S314" t="n">
        <x:v>19</x:v>
      </x:c>
      <x:c r="T314" t="n">
        <x:v>7</x:v>
      </x:c>
      <x:c r="U314" t="n">
        <x:v>6</x:v>
      </x:c>
      <x:c r="V314" s="16" t="n">
        <x:v>3.57</x:v>
      </x:c>
      <x:c r="W314" t="str">
        <x:v>Parsed from Tracker.gg MHTML/PDF export; competitive rows only.</x:v>
      </x:c>
      <x:c r="X314" t="n">
        <x:f>IF(L314="Win",1,0)</x:f>
        <x:v>1</x:v>
      </x:c>
      <x:c r="Y314" s="14" t="n">
        <x:f>IF(L314="Loss",1,0)</x:f>
        <x:v>0</x:v>
      </x:c>
      <x:c r="Z314" t="n">
        <x:f>IF(L314="Draw/Unknown",1,0)</x:f>
        <x:v>0</x:v>
      </x:c>
      <x:c r="AA314" s="16" t="str">
        <x:f>IF(OR(N314="",O314=""),"",N314-O314)</x:f>
      </x:c>
      <x:c r="AB314" s="16" t="n">
        <x:f>IF(T314=0,S314+U314,(S314+U314)/T314)</x:f>
        <x:v>3.5714285714285716</x:v>
      </x:c>
      <x:c r="AC314" t="n">
        <x:f>S314+U314</x:f>
        <x:v>25</x:v>
      </x:c>
      <x:c r="AD314" t="n">
        <x:f>IF(T314=0,1,0)</x:f>
        <x:v>0</x:v>
      </x:c>
      <x:c r="AE314" t="str">
        <x:f>IF(R314&gt;0,"Gain",IF(R314&lt;0,"Loss","Neutral"))</x:f>
        <x:v>Gain</x:v>
      </x:c>
    </x:row>
    <x:row r="315">
      <x:c r="A315" t="n">
        <x:v>314</x:v>
      </x:c>
      <x:c r="B315" s="12" t="n">
        <x:v>46102</x:v>
      </x:c>
      <x:c r="C315" t="str">
        <x:v>Mar 21</x:v>
      </x:c>
      <x:c r="D315" t="n">
        <x:v>8</x:v>
      </x:c>
      <x:c r="E315" t="n">
        <x:v>5</x:v>
      </x:c>
      <x:c r="F315" s="14" t="n">
        <x:v>3</x:v>
      </x:c>
      <x:c r="G315" t="str">
        <x:v>2mo ago</x:v>
      </x:c>
      <x:c r="H315" t="str">
        <x:v>Competitive</x:v>
      </x:c>
      <x:c r="I315" t="str">
        <x:v>Convoy</x:v>
      </x:c>
      <x:c r="J315" t="str">
        <x:v>Museum of Contemplation</x:v>
      </x:c>
      <x:c r="K315" t="str">
        <x:v>The Thing</x:v>
      </x:c>
      <x:c r="L315" t="str">
        <x:v>Win</x:v>
      </x:c>
      <x:c r="M315" t="str"/>
      <x:c r="N315" t="n">
        <x:v>0</x:v>
      </x:c>
      <x:c r="O315" t="n">
        <x:v>1</x:v>
      </x:c>
      <x:c r="P315" t="str">
        <x:v>Diamond III</x:v>
      </x:c>
      <x:c r="Q315" t="n">
        <x:v>4276</x:v>
      </x:c>
      <x:c r="R315" s="14" t="n">
        <x:v>26</x:v>
      </x:c>
      <x:c r="S315" t="n">
        <x:v>16</x:v>
      </x:c>
      <x:c r="T315" t="n">
        <x:v>6</x:v>
      </x:c>
      <x:c r="U315" t="n">
        <x:v>11</x:v>
      </x:c>
      <x:c r="V315" s="16" t="n">
        <x:v>4.5</x:v>
      </x:c>
      <x:c r="W315" t="str">
        <x:v>Parsed from Tracker.gg MHTML/PDF export; competitive rows only.</x:v>
      </x:c>
      <x:c r="X315" t="n">
        <x:f>IF(L315="Win",1,0)</x:f>
        <x:v>1</x:v>
      </x:c>
      <x:c r="Y315" s="14" t="n">
        <x:f>IF(L315="Loss",1,0)</x:f>
        <x:v>0</x:v>
      </x:c>
      <x:c r="Z315" t="n">
        <x:f>IF(L315="Draw/Unknown",1,0)</x:f>
        <x:v>0</x:v>
      </x:c>
      <x:c r="AA315" s="16" t="str">
        <x:f>IF(OR(N315="",O315=""),"",N315-O315)</x:f>
      </x:c>
      <x:c r="AB315" s="16" t="n">
        <x:f>IF(T315=0,S315+U315,(S315+U315)/T315)</x:f>
        <x:v>4.5</x:v>
      </x:c>
      <x:c r="AC315" t="n">
        <x:f>S315+U315</x:f>
        <x:v>27</x:v>
      </x:c>
      <x:c r="AD315" t="n">
        <x:f>IF(T315=0,1,0)</x:f>
        <x:v>0</x:v>
      </x:c>
      <x:c r="AE315" t="str">
        <x:f>IF(R315&gt;0,"Gain",IF(R315&lt;0,"Loss","Neutral"))</x:f>
        <x:v>Gain</x:v>
      </x:c>
    </x:row>
    <x:row r="316">
      <x:c r="A316" t="n">
        <x:v>315</x:v>
      </x:c>
      <x:c r="B316" s="12" t="n">
        <x:v>46102</x:v>
      </x:c>
      <x:c r="C316" t="str">
        <x:v>Mar 21</x:v>
      </x:c>
      <x:c r="D316" t="n">
        <x:v>8</x:v>
      </x:c>
      <x:c r="E316" t="n">
        <x:v>5</x:v>
      </x:c>
      <x:c r="F316" s="14" t="n">
        <x:v>3</x:v>
      </x:c>
      <x:c r="G316" t="str">
        <x:v>2mo ago</x:v>
      </x:c>
      <x:c r="H316" t="str">
        <x:v>Competitive</x:v>
      </x:c>
      <x:c r="I316" t="str">
        <x:v>Convergence</x:v>
      </x:c>
      <x:c r="J316" t="str">
        <x:v>Central Park</x:v>
      </x:c>
      <x:c r="K316" t="str">
        <x:v>The Thing</x:v>
      </x:c>
      <x:c r="L316" t="str">
        <x:v>Win</x:v>
      </x:c>
      <x:c r="M316" t="str"/>
      <x:c r="N316" t="n">
        <x:v>3</x:v>
      </x:c>
      <x:c r="O316" t="n">
        <x:v>2</x:v>
      </x:c>
      <x:c r="P316" t="str">
        <x:v>Platinum I</x:v>
      </x:c>
      <x:c r="Q316" t="n">
        <x:v>4230</x:v>
      </x:c>
      <x:c r="R316" s="14" t="n">
        <x:v>40</x:v>
      </x:c>
      <x:c r="S316" t="n">
        <x:v>31</x:v>
      </x:c>
      <x:c r="T316" t="n">
        <x:v>12</x:v>
      </x:c>
      <x:c r="U316" t="n">
        <x:v>13</x:v>
      </x:c>
      <x:c r="V316" s="16" t="n">
        <x:v>3.67</x:v>
      </x:c>
      <x:c r="W316" t="str">
        <x:v>Parsed from Tracker.gg MHTML/PDF export; competitive rows only.</x:v>
      </x:c>
      <x:c r="X316" t="n">
        <x:f>IF(L316="Win",1,0)</x:f>
        <x:v>1</x:v>
      </x:c>
      <x:c r="Y316" s="14" t="n">
        <x:f>IF(L316="Loss",1,0)</x:f>
        <x:v>0</x:v>
      </x:c>
      <x:c r="Z316" t="n">
        <x:f>IF(L316="Draw/Unknown",1,0)</x:f>
        <x:v>0</x:v>
      </x:c>
      <x:c r="AA316" s="16" t="n">
        <x:f>IF(OR(N316="",O316=""),"",N316-O316)</x:f>
        <x:v>1</x:v>
      </x:c>
      <x:c r="AB316" s="16" t="n">
        <x:f>IF(T316=0,S316+U316,(S316+U316)/T316)</x:f>
        <x:v>3.6666666666666665</x:v>
      </x:c>
      <x:c r="AC316" t="n">
        <x:f>S316+U316</x:f>
        <x:v>44</x:v>
      </x:c>
      <x:c r="AD316" t="n">
        <x:f>IF(T316=0,1,0)</x:f>
        <x:v>0</x:v>
      </x:c>
      <x:c r="AE316" t="str">
        <x:f>IF(R316&gt;0,"Gain",IF(R316&lt;0,"Loss","Neutral"))</x:f>
        <x:v>Gain</x:v>
      </x:c>
    </x:row>
    <x:row r="317">
      <x:c r="A317" t="n">
        <x:v>316</x:v>
      </x:c>
      <x:c r="B317" s="12" t="n">
        <x:v>46101</x:v>
      </x:c>
      <x:c r="C317" t="str">
        <x:v>Mar 20</x:v>
      </x:c>
      <x:c r="D317" t="n">
        <x:v>25</x:v>
      </x:c>
      <x:c r="E317" t="n">
        <x:v>13</x:v>
      </x:c>
      <x:c r="F317" s="14" t="n">
        <x:v>12</x:v>
      </x:c>
      <x:c r="G317" t="str">
        <x:v>2mo ago</x:v>
      </x:c>
      <x:c r="H317" t="str">
        <x:v>Competitive</x:v>
      </x:c>
      <x:c r="I317" t="str">
        <x:v>Domination</x:v>
      </x:c>
      <x:c r="J317" t="str">
        <x:v>Krakoa</x:v>
      </x:c>
      <x:c r="K317" t="str">
        <x:v>Peni Parker</x:v>
      </x:c>
      <x:c r="L317" t="str">
        <x:v>Win</x:v>
      </x:c>
      <x:c r="M317" t="str"/>
      <x:c r="N317" t="n">
        <x:v>1</x:v>
      </x:c>
      <x:c r="O317" t="n">
        <x:v>2</x:v>
      </x:c>
      <x:c r="P317" t="str">
        <x:v>Platinum I</x:v>
      </x:c>
      <x:c r="Q317" t="n">
        <x:v>4190</x:v>
      </x:c>
      <x:c r="R317" s="14" t="n">
        <x:v>40</x:v>
      </x:c>
      <x:c r="S317" t="n">
        <x:v>13</x:v>
      </x:c>
      <x:c r="T317" t="n">
        <x:v>3</x:v>
      </x:c>
      <x:c r="U317" t="n">
        <x:v>7</x:v>
      </x:c>
      <x:c r="V317" s="16" t="n">
        <x:v>6.67</x:v>
      </x:c>
      <x:c r="W317" t="str">
        <x:v>Parsed from Tracker.gg MHTML/PDF export; competitive rows only.</x:v>
      </x:c>
      <x:c r="X317" t="n">
        <x:f>IF(L317="Win",1,0)</x:f>
        <x:v>1</x:v>
      </x:c>
      <x:c r="Y317" s="14" t="n">
        <x:f>IF(L317="Loss",1,0)</x:f>
        <x:v>0</x:v>
      </x:c>
      <x:c r="Z317" t="n">
        <x:f>IF(L317="Draw/Unknown",1,0)</x:f>
        <x:v>0</x:v>
      </x:c>
      <x:c r="AA317" s="16" t="n">
        <x:f>IF(OR(N317="",O317=""),"",N317-O317)</x:f>
        <x:v>-1</x:v>
      </x:c>
      <x:c r="AB317" s="16" t="n">
        <x:f>IF(T317=0,S317+U317,(S317+U317)/T317)</x:f>
        <x:v>6.666666666666667</x:v>
      </x:c>
      <x:c r="AC317" t="n">
        <x:f>S317+U317</x:f>
        <x:v>20</x:v>
      </x:c>
      <x:c r="AD317" t="n">
        <x:f>IF(T317=0,1,0)</x:f>
        <x:v>0</x:v>
      </x:c>
      <x:c r="AE317" t="str">
        <x:f>IF(R317&gt;0,"Gain",IF(R317&lt;0,"Loss","Neutral"))</x:f>
        <x:v>Gain</x:v>
      </x:c>
    </x:row>
    <x:row r="318">
      <x:c r="A318" t="n">
        <x:v>317</x:v>
      </x:c>
      <x:c r="B318" s="12" t="n">
        <x:v>46101</x:v>
      </x:c>
      <x:c r="C318" t="str">
        <x:v>Mar 20</x:v>
      </x:c>
      <x:c r="D318" t="n">
        <x:v>25</x:v>
      </x:c>
      <x:c r="E318" t="n">
        <x:v>13</x:v>
      </x:c>
      <x:c r="F318" s="14" t="n">
        <x:v>12</x:v>
      </x:c>
      <x:c r="G318" t="str">
        <x:v>2mo ago</x:v>
      </x:c>
      <x:c r="H318" t="str">
        <x:v>Competitive</x:v>
      </x:c>
      <x:c r="I318" t="str">
        <x:v>Convoy</x:v>
      </x:c>
      <x:c r="J318" t="str">
        <x:v>Yggdrasill Path</x:v>
      </x:c>
      <x:c r="K318" t="str">
        <x:v>Namor</x:v>
      </x:c>
      <x:c r="L318" t="str">
        <x:v>Win</x:v>
      </x:c>
      <x:c r="M318" t="str"/>
      <x:c r="N318" t="n">
        <x:v>2</x:v>
      </x:c>
      <x:c r="O318" t="n">
        <x:v>1</x:v>
      </x:c>
      <x:c r="P318" t="str">
        <x:v>Platinum I</x:v>
      </x:c>
      <x:c r="Q318" t="n">
        <x:v>4150</x:v>
      </x:c>
      <x:c r="R318" s="14" t="n">
        <x:v>40</x:v>
      </x:c>
      <x:c r="S318" t="n">
        <x:v>27</x:v>
      </x:c>
      <x:c r="T318" t="n">
        <x:v>10</x:v>
      </x:c>
      <x:c r="U318" t="n">
        <x:v>15</x:v>
      </x:c>
      <x:c r="V318" s="16" t="n">
        <x:v>4.2</x:v>
      </x:c>
      <x:c r="W318" t="str">
        <x:v>Parsed from Tracker.gg MHTML/PDF export; competitive rows only.</x:v>
      </x:c>
      <x:c r="X318" t="n">
        <x:f>IF(L318="Win",1,0)</x:f>
        <x:v>1</x:v>
      </x:c>
      <x:c r="Y318" s="14" t="n">
        <x:f>IF(L318="Loss",1,0)</x:f>
        <x:v>0</x:v>
      </x:c>
      <x:c r="Z318" t="n">
        <x:f>IF(L318="Draw/Unknown",1,0)</x:f>
        <x:v>0</x:v>
      </x:c>
      <x:c r="AA318" s="16" t="n">
        <x:f>IF(OR(N318="",O318=""),"",N318-O318)</x:f>
        <x:v>1</x:v>
      </x:c>
      <x:c r="AB318" s="16" t="n">
        <x:f>IF(T318=0,S318+U318,(S318+U318)/T318)</x:f>
        <x:v>4.2</x:v>
      </x:c>
      <x:c r="AC318" t="n">
        <x:f>S318+U318</x:f>
        <x:v>42</x:v>
      </x:c>
      <x:c r="AD318" t="n">
        <x:f>IF(T318=0,1,0)</x:f>
        <x:v>0</x:v>
      </x:c>
      <x:c r="AE318" t="str">
        <x:f>IF(R318&gt;0,"Gain",IF(R318&lt;0,"Loss","Neutral"))</x:f>
        <x:v>Gain</x:v>
      </x:c>
    </x:row>
    <x:row r="319">
      <x:c r="A319" t="n">
        <x:v>318</x:v>
      </x:c>
      <x:c r="B319" s="12" t="n">
        <x:v>46101</x:v>
      </x:c>
      <x:c r="C319" t="str">
        <x:v>Mar 20</x:v>
      </x:c>
      <x:c r="D319" t="n">
        <x:v>25</x:v>
      </x:c>
      <x:c r="E319" t="n">
        <x:v>13</x:v>
      </x:c>
      <x:c r="F319" s="14" t="n">
        <x:v>12</x:v>
      </x:c>
      <x:c r="G319" t="str">
        <x:v>2mo ago</x:v>
      </x:c>
      <x:c r="H319" t="str">
        <x:v>Competitive</x:v>
      </x:c>
      <x:c r="I319" t="str">
        <x:v>Convergence</x:v>
      </x:c>
      <x:c r="J319" t="str">
        <x:v>Heart Of Heaven</x:v>
      </x:c>
      <x:c r="K319" t="str">
        <x:v>The Thing</x:v>
      </x:c>
      <x:c r="L319" t="str">
        <x:v>Loss</x:v>
      </x:c>
      <x:c r="M319" t="str"/>
      <x:c r="N319" t="n">
        <x:v>3</x:v>
      </x:c>
      <x:c r="O319" t="n">
        <x:v>2</x:v>
      </x:c>
      <x:c r="P319" t="str">
        <x:v>Platinum I</x:v>
      </x:c>
      <x:c r="Q319" t="n">
        <x:v>4110</x:v>
      </x:c>
      <x:c r="R319" s="14" t="n">
        <x:v>-40</x:v>
      </x:c>
      <x:c r="S319" t="n">
        <x:v>23</x:v>
      </x:c>
      <x:c r="T319" t="n">
        <x:v>22</x:v>
      </x:c>
      <x:c r="U319" t="n">
        <x:v>8</x:v>
      </x:c>
      <x:c r="V319" s="16" t="n">
        <x:v>1.41</x:v>
      </x:c>
      <x:c r="W319" t="str">
        <x:v>Parsed from Tracker.gg MHTML/PDF export; competitive rows only.</x:v>
      </x:c>
      <x:c r="X319" t="n">
        <x:f>IF(L319="Win",1,0)</x:f>
        <x:v>0</x:v>
      </x:c>
      <x:c r="Y319" s="14" t="n">
        <x:f>IF(L319="Loss",1,0)</x:f>
        <x:v>1</x:v>
      </x:c>
      <x:c r="Z319" t="n">
        <x:f>IF(L319="Draw/Unknown",1,0)</x:f>
        <x:v>0</x:v>
      </x:c>
      <x:c r="AA319" s="16" t="n">
        <x:f>IF(OR(N319="",O319=""),"",N319-O319)</x:f>
        <x:v>1</x:v>
      </x:c>
      <x:c r="AB319" s="16" t="n">
        <x:f>IF(T319=0,S319+U319,(S319+U319)/T319)</x:f>
        <x:v>1.4090909090909092</x:v>
      </x:c>
      <x:c r="AC319" t="n">
        <x:f>S319+U319</x:f>
        <x:v>31</x:v>
      </x:c>
      <x:c r="AD319" t="n">
        <x:f>IF(T319=0,1,0)</x:f>
        <x:v>0</x:v>
      </x:c>
      <x:c r="AE319" t="str">
        <x:f>IF(R319&gt;0,"Gain",IF(R319&lt;0,"Loss","Neutral"))</x:f>
        <x:v>Loss</x:v>
      </x:c>
    </x:row>
    <x:row r="320">
      <x:c r="A320" t="n">
        <x:v>319</x:v>
      </x:c>
      <x:c r="B320" s="12" t="n">
        <x:v>46101</x:v>
      </x:c>
      <x:c r="C320" t="str">
        <x:v>Mar 20</x:v>
      </x:c>
      <x:c r="D320" t="n">
        <x:v>25</x:v>
      </x:c>
      <x:c r="E320" t="n">
        <x:v>13</x:v>
      </x:c>
      <x:c r="F320" s="14" t="n">
        <x:v>12</x:v>
      </x:c>
      <x:c r="G320" t="str">
        <x:v>2mo ago</x:v>
      </x:c>
      <x:c r="H320" t="str">
        <x:v>Competitive</x:v>
      </x:c>
      <x:c r="I320" t="str">
        <x:v>Convoy</x:v>
      </x:c>
      <x:c r="J320" t="str">
        <x:v>Spider-Islands</x:v>
      </x:c>
      <x:c r="K320" t="str">
        <x:v>The Thing</x:v>
      </x:c>
      <x:c r="L320" t="str">
        <x:v>Win</x:v>
      </x:c>
      <x:c r="M320" t="str"/>
      <x:c r="N320" t="n">
        <x:v>6</x:v>
      </x:c>
      <x:c r="O320" t="n">
        <x:v>3</x:v>
      </x:c>
      <x:c r="P320" t="str">
        <x:v>Platinum I</x:v>
      </x:c>
      <x:c r="Q320" t="n">
        <x:v>4150</x:v>
      </x:c>
      <x:c r="R320" s="14" t="n">
        <x:v>40</x:v>
      </x:c>
      <x:c r="S320" t="n">
        <x:v>27</x:v>
      </x:c>
      <x:c r="T320" t="n">
        <x:v>15</x:v>
      </x:c>
      <x:c r="U320" t="n">
        <x:v>12</x:v>
      </x:c>
      <x:c r="V320" s="16" t="n">
        <x:v>2.6</x:v>
      </x:c>
      <x:c r="W320" t="str">
        <x:v>Parsed from Tracker.gg MHTML/PDF export; competitive rows only.</x:v>
      </x:c>
      <x:c r="X320" t="n">
        <x:f>IF(L320="Win",1,0)</x:f>
        <x:v>1</x:v>
      </x:c>
      <x:c r="Y320" s="14" t="n">
        <x:f>IF(L320="Loss",1,0)</x:f>
        <x:v>0</x:v>
      </x:c>
      <x:c r="Z320" t="n">
        <x:f>IF(L320="Draw/Unknown",1,0)</x:f>
        <x:v>0</x:v>
      </x:c>
      <x:c r="AA320" s="16" t="n">
        <x:f>IF(OR(N320="",O320=""),"",N320-O320)</x:f>
        <x:v>3</x:v>
      </x:c>
      <x:c r="AB320" s="16" t="n">
        <x:f>IF(T320=0,S320+U320,(S320+U320)/T320)</x:f>
        <x:v>2.6</x:v>
      </x:c>
      <x:c r="AC320" t="n">
        <x:f>S320+U320</x:f>
        <x:v>39</x:v>
      </x:c>
      <x:c r="AD320" t="n">
        <x:f>IF(T320=0,1,0)</x:f>
        <x:v>0</x:v>
      </x:c>
      <x:c r="AE320" t="str">
        <x:f>IF(R320&gt;0,"Gain",IF(R320&lt;0,"Loss","Neutral"))</x:f>
        <x:v>Gain</x:v>
      </x:c>
    </x:row>
    <x:row r="321">
      <x:c r="A321" t="n">
        <x:v>320</x:v>
      </x:c>
      <x:c r="B321" s="12" t="n">
        <x:v>46101</x:v>
      </x:c>
      <x:c r="C321" t="str">
        <x:v>Mar 20</x:v>
      </x:c>
      <x:c r="D321" t="n">
        <x:v>25</x:v>
      </x:c>
      <x:c r="E321" t="n">
        <x:v>13</x:v>
      </x:c>
      <x:c r="F321" s="14" t="n">
        <x:v>12</x:v>
      </x:c>
      <x:c r="G321" t="str">
        <x:v>2mo ago</x:v>
      </x:c>
      <x:c r="H321" t="str">
        <x:v>Competitive</x:v>
      </x:c>
      <x:c r="I321" t="str">
        <x:v>Convoy</x:v>
      </x:c>
      <x:c r="J321" t="str">
        <x:v>Midtown</x:v>
      </x:c>
      <x:c r="K321" t="str">
        <x:v>The Thing</x:v>
      </x:c>
      <x:c r="L321" t="str">
        <x:v>Loss</x:v>
      </x:c>
      <x:c r="M321" t="str"/>
      <x:c r="N321" t="n">
        <x:v>3</x:v>
      </x:c>
      <x:c r="O321" t="n">
        <x:v>2</x:v>
      </x:c>
      <x:c r="P321" t="str">
        <x:v>Platinum I</x:v>
      </x:c>
      <x:c r="Q321" t="n">
        <x:v>4110</x:v>
      </x:c>
      <x:c r="R321" s="14" t="n">
        <x:v>-40</x:v>
      </x:c>
      <x:c r="S321" t="n">
        <x:v>32</x:v>
      </x:c>
      <x:c r="T321" t="n">
        <x:v>17</x:v>
      </x:c>
      <x:c r="U321" t="n">
        <x:v>13</x:v>
      </x:c>
      <x:c r="V321" s="16" t="n">
        <x:v>2.65</x:v>
      </x:c>
      <x:c r="W321" t="str">
        <x:v>Parsed from Tracker.gg MHTML/PDF export; competitive rows only.</x:v>
      </x:c>
      <x:c r="X321" t="n">
        <x:f>IF(L321="Win",1,0)</x:f>
        <x:v>0</x:v>
      </x:c>
      <x:c r="Y321" s="14" t="n">
        <x:f>IF(L321="Loss",1,0)</x:f>
        <x:v>1</x:v>
      </x:c>
      <x:c r="Z321" t="n">
        <x:f>IF(L321="Draw/Unknown",1,0)</x:f>
        <x:v>0</x:v>
      </x:c>
      <x:c r="AA321" s="16" t="n">
        <x:f>IF(OR(N321="",O321=""),"",N321-O321)</x:f>
        <x:v>1</x:v>
      </x:c>
      <x:c r="AB321" s="16" t="n">
        <x:f>IF(T321=0,S321+U321,(S321+U321)/T321)</x:f>
        <x:v>2.6470588235294117</x:v>
      </x:c>
      <x:c r="AC321" t="n">
        <x:f>S321+U321</x:f>
        <x:v>45</x:v>
      </x:c>
      <x:c r="AD321" t="n">
        <x:f>IF(T321=0,1,0)</x:f>
        <x:v>0</x:v>
      </x:c>
      <x:c r="AE321" t="str">
        <x:f>IF(R321&gt;0,"Gain",IF(R321&lt;0,"Loss","Neutral"))</x:f>
        <x:v>Loss</x:v>
      </x:c>
    </x:row>
    <x:row r="322">
      <x:c r="A322" t="n">
        <x:v>321</x:v>
      </x:c>
      <x:c r="B322" s="12" t="n">
        <x:v>46101</x:v>
      </x:c>
      <x:c r="C322" t="str">
        <x:v>Mar 20</x:v>
      </x:c>
      <x:c r="D322" t="n">
        <x:v>25</x:v>
      </x:c>
      <x:c r="E322" t="n">
        <x:v>13</x:v>
      </x:c>
      <x:c r="F322" s="14" t="n">
        <x:v>12</x:v>
      </x:c>
      <x:c r="G322" t="str">
        <x:v>2mo ago</x:v>
      </x:c>
      <x:c r="H322" t="str">
        <x:v>Competitive</x:v>
      </x:c>
      <x:c r="I322" t="str">
        <x:v>Convergence</x:v>
      </x:c>
      <x:c r="J322" t="str">
        <x:v>Hall Of Djalia</x:v>
      </x:c>
      <x:c r="K322" t="str">
        <x:v>Doctor Strange</x:v>
      </x:c>
      <x:c r="L322" t="str">
        <x:v>Win</x:v>
      </x:c>
      <x:c r="M322" t="str"/>
      <x:c r="N322" t="n">
        <x:v>3</x:v>
      </x:c>
      <x:c r="O322" t="n">
        <x:v>0</x:v>
      </x:c>
      <x:c r="P322" t="str">
        <x:v>Platinum I</x:v>
      </x:c>
      <x:c r="Q322" t="n">
        <x:v>4150</x:v>
      </x:c>
      <x:c r="R322" s="14" t="n">
        <x:v>40</x:v>
      </x:c>
      <x:c r="S322" t="n">
        <x:v>28</x:v>
      </x:c>
      <x:c r="T322" t="n">
        <x:v>2</x:v>
      </x:c>
      <x:c r="U322" t="n">
        <x:v>8</x:v>
      </x:c>
      <x:c r="V322" s="16" t="n">
        <x:v>18</x:v>
      </x:c>
      <x:c r="W322" t="str">
        <x:v>Parsed from Tracker.gg MHTML/PDF export; competitive rows only.</x:v>
      </x:c>
      <x:c r="X322" t="n">
        <x:f>IF(L322="Win",1,0)</x:f>
        <x:v>1</x:v>
      </x:c>
      <x:c r="Y322" s="14" t="n">
        <x:f>IF(L322="Loss",1,0)</x:f>
        <x:v>0</x:v>
      </x:c>
      <x:c r="Z322" t="n">
        <x:f>IF(L322="Draw/Unknown",1,0)</x:f>
        <x:v>0</x:v>
      </x:c>
      <x:c r="AA322" s="16" t="str">
        <x:f>IF(OR(N322="",O322=""),"",N322-O322)</x:f>
      </x:c>
      <x:c r="AB322" s="16" t="n">
        <x:f>IF(T322=0,S322+U322,(S322+U322)/T322)</x:f>
        <x:v>18</x:v>
      </x:c>
      <x:c r="AC322" t="n">
        <x:f>S322+U322</x:f>
        <x:v>36</x:v>
      </x:c>
      <x:c r="AD322" t="n">
        <x:f>IF(T322=0,1,0)</x:f>
        <x:v>0</x:v>
      </x:c>
      <x:c r="AE322" t="str">
        <x:f>IF(R322&gt;0,"Gain",IF(R322&lt;0,"Loss","Neutral"))</x:f>
        <x:v>Gain</x:v>
      </x:c>
    </x:row>
    <x:row r="323">
      <x:c r="A323" t="n">
        <x:v>322</x:v>
      </x:c>
      <x:c r="B323" s="12" t="n">
        <x:v>46101</x:v>
      </x:c>
      <x:c r="C323" t="str">
        <x:v>Mar 20</x:v>
      </x:c>
      <x:c r="D323" t="n">
        <x:v>25</x:v>
      </x:c>
      <x:c r="E323" t="n">
        <x:v>13</x:v>
      </x:c>
      <x:c r="F323" s="14" t="n">
        <x:v>12</x:v>
      </x:c>
      <x:c r="G323" t="str">
        <x:v>2mo ago</x:v>
      </x:c>
      <x:c r="H323" t="str">
        <x:v>Competitive</x:v>
      </x:c>
      <x:c r="I323" t="str">
        <x:v>Convergence</x:v>
      </x:c>
      <x:c r="J323" t="str">
        <x:v>Heart Of Heaven</x:v>
      </x:c>
      <x:c r="K323" t="str">
        <x:v>The Thing</x:v>
      </x:c>
      <x:c r="L323" t="str">
        <x:v>Loss</x:v>
      </x:c>
      <x:c r="M323" t="str"/>
      <x:c r="N323" t="n">
        <x:v>0</x:v>
      </x:c>
      <x:c r="O323" t="n">
        <x:v>1</x:v>
      </x:c>
      <x:c r="P323" t="str">
        <x:v>Platinum I</x:v>
      </x:c>
      <x:c r="Q323" t="n">
        <x:v>4110</x:v>
      </x:c>
      <x:c r="R323" s="14" t="n">
        <x:v>-40</x:v>
      </x:c>
      <x:c r="S323" t="n">
        <x:v>7</x:v>
      </x:c>
      <x:c r="T323" t="n">
        <x:v>8</x:v>
      </x:c>
      <x:c r="U323" t="n">
        <x:v>3</x:v>
      </x:c>
      <x:c r="V323" s="16" t="n">
        <x:v>1.25</x:v>
      </x:c>
      <x:c r="W323" t="str">
        <x:v>Parsed from Tracker.gg MHTML/PDF export; competitive rows only.</x:v>
      </x:c>
      <x:c r="X323" t="n">
        <x:f>IF(L323="Win",1,0)</x:f>
        <x:v>0</x:v>
      </x:c>
      <x:c r="Y323" s="14" t="n">
        <x:f>IF(L323="Loss",1,0)</x:f>
        <x:v>1</x:v>
      </x:c>
      <x:c r="Z323" t="n">
        <x:f>IF(L323="Draw/Unknown",1,0)</x:f>
        <x:v>0</x:v>
      </x:c>
      <x:c r="AA323" s="16" t="str">
        <x:f>IF(OR(N323="",O323=""),"",N323-O323)</x:f>
      </x:c>
      <x:c r="AB323" s="16" t="n">
        <x:f>IF(T323=0,S323+U323,(S323+U323)/T323)</x:f>
        <x:v>1.25</x:v>
      </x:c>
      <x:c r="AC323" t="n">
        <x:f>S323+U323</x:f>
        <x:v>10</x:v>
      </x:c>
      <x:c r="AD323" t="n">
        <x:f>IF(T323=0,1,0)</x:f>
        <x:v>0</x:v>
      </x:c>
      <x:c r="AE323" t="str">
        <x:f>IF(R323&gt;0,"Gain",IF(R323&lt;0,"Loss","Neutral"))</x:f>
        <x:v>Loss</x:v>
      </x:c>
    </x:row>
    <x:row r="324">
      <x:c r="A324" t="n">
        <x:v>323</x:v>
      </x:c>
      <x:c r="B324" s="12" t="n">
        <x:v>46101</x:v>
      </x:c>
      <x:c r="C324" t="str">
        <x:v>Mar 20</x:v>
      </x:c>
      <x:c r="D324" t="n">
        <x:v>25</x:v>
      </x:c>
      <x:c r="E324" t="n">
        <x:v>13</x:v>
      </x:c>
      <x:c r="F324" s="14" t="n">
        <x:v>12</x:v>
      </x:c>
      <x:c r="G324" t="str">
        <x:v>2mo ago</x:v>
      </x:c>
      <x:c r="H324" t="str">
        <x:v>Competitive</x:v>
      </x:c>
      <x:c r="I324" t="str">
        <x:v>Domination</x:v>
      </x:c>
      <x:c r="J324" t="str">
        <x:v>Krakoa</x:v>
      </x:c>
      <x:c r="K324" t="str">
        <x:v>The Thing</x:v>
      </x:c>
      <x:c r="L324" t="str">
        <x:v>Win</x:v>
      </x:c>
      <x:c r="M324" t="str">
        <x:v>MVP</x:v>
      </x:c>
      <x:c r="N324" t="n">
        <x:v>0</x:v>
      </x:c>
      <x:c r="O324" t="n">
        <x:v>2</x:v>
      </x:c>
      <x:c r="P324" t="str">
        <x:v>Platinum I</x:v>
      </x:c>
      <x:c r="Q324" t="n">
        <x:v>4150</x:v>
      </x:c>
      <x:c r="R324" s="14" t="n">
        <x:v>40</x:v>
      </x:c>
      <x:c r="S324" t="n">
        <x:v>19</x:v>
      </x:c>
      <x:c r="T324" t="n">
        <x:v>3</x:v>
      </x:c>
      <x:c r="U324" t="n">
        <x:v>8</x:v>
      </x:c>
      <x:c r="V324" s="16" t="n">
        <x:v>9</x:v>
      </x:c>
      <x:c r="W324" t="str">
        <x:v>Parsed from Tracker.gg MHTML/PDF export; competitive rows only.</x:v>
      </x:c>
      <x:c r="X324" t="n">
        <x:f>IF(L324="Win",1,0)</x:f>
        <x:v>1</x:v>
      </x:c>
      <x:c r="Y324" s="14" t="n">
        <x:f>IF(L324="Loss",1,0)</x:f>
        <x:v>0</x:v>
      </x:c>
      <x:c r="Z324" t="n">
        <x:f>IF(L324="Draw/Unknown",1,0)</x:f>
        <x:v>0</x:v>
      </x:c>
      <x:c r="AA324" s="16" t="str">
        <x:f>IF(OR(N324="",O324=""),"",N324-O324)</x:f>
      </x:c>
      <x:c r="AB324" s="16" t="n">
        <x:f>IF(T324=0,S324+U324,(S324+U324)/T324)</x:f>
        <x:v>9</x:v>
      </x:c>
      <x:c r="AC324" t="n">
        <x:f>S324+U324</x:f>
        <x:v>27</x:v>
      </x:c>
      <x:c r="AD324" t="n">
        <x:f>IF(T324=0,1,0)</x:f>
        <x:v>0</x:v>
      </x:c>
      <x:c r="AE324" t="str">
        <x:f>IF(R324&gt;0,"Gain",IF(R324&lt;0,"Loss","Neutral"))</x:f>
        <x:v>Gain</x:v>
      </x:c>
    </x:row>
    <x:row r="325">
      <x:c r="A325" t="n">
        <x:v>324</x:v>
      </x:c>
      <x:c r="B325" s="12" t="n">
        <x:v>46101</x:v>
      </x:c>
      <x:c r="C325" t="str">
        <x:v>Mar 20</x:v>
      </x:c>
      <x:c r="D325" t="n">
        <x:v>25</x:v>
      </x:c>
      <x:c r="E325" t="n">
        <x:v>13</x:v>
      </x:c>
      <x:c r="F325" s="14" t="n">
        <x:v>12</x:v>
      </x:c>
      <x:c r="G325" t="str">
        <x:v>2mo ago</x:v>
      </x:c>
      <x:c r="H325" t="str">
        <x:v>Competitive</x:v>
      </x:c>
      <x:c r="I325" t="str">
        <x:v>Convergence</x:v>
      </x:c>
      <x:c r="J325" t="str">
        <x:v>Symbiotic Surface</x:v>
      </x:c>
      <x:c r="K325" t="str">
        <x:v>The Thing</x:v>
      </x:c>
      <x:c r="L325" t="str">
        <x:v>Loss</x:v>
      </x:c>
      <x:c r="M325" t="str"/>
      <x:c r="N325" t="n">
        <x:v>3</x:v>
      </x:c>
      <x:c r="O325" t="n">
        <x:v>1</x:v>
      </x:c>
      <x:c r="P325" t="str">
        <x:v>Platinum I</x:v>
      </x:c>
      <x:c r="Q325" t="n">
        <x:v>4110</x:v>
      </x:c>
      <x:c r="R325" s="14" t="n">
        <x:v>-40</x:v>
      </x:c>
      <x:c r="S325" t="n">
        <x:v>14</x:v>
      </x:c>
      <x:c r="T325" t="n">
        <x:v>14</x:v>
      </x:c>
      <x:c r="U325" t="n">
        <x:v>7</x:v>
      </x:c>
      <x:c r="V325" s="16" t="n">
        <x:v>1.5</x:v>
      </x:c>
      <x:c r="W325" t="str">
        <x:v>Parsed from Tracker.gg MHTML/PDF export; competitive rows only.</x:v>
      </x:c>
      <x:c r="X325" t="n">
        <x:f>IF(L325="Win",1,0)</x:f>
        <x:v>0</x:v>
      </x:c>
      <x:c r="Y325" s="14" t="n">
        <x:f>IF(L325="Loss",1,0)</x:f>
        <x:v>1</x:v>
      </x:c>
      <x:c r="Z325" t="n">
        <x:f>IF(L325="Draw/Unknown",1,0)</x:f>
        <x:v>0</x:v>
      </x:c>
      <x:c r="AA325" s="16" t="n">
        <x:f>IF(OR(N325="",O325=""),"",N325-O325)</x:f>
        <x:v>2</x:v>
      </x:c>
      <x:c r="AB325" s="16" t="n">
        <x:f>IF(T325=0,S325+U325,(S325+U325)/T325)</x:f>
        <x:v>1.5</x:v>
      </x:c>
      <x:c r="AC325" t="n">
        <x:f>S325+U325</x:f>
        <x:v>21</x:v>
      </x:c>
      <x:c r="AD325" t="n">
        <x:f>IF(T325=0,1,0)</x:f>
        <x:v>0</x:v>
      </x:c>
      <x:c r="AE325" t="str">
        <x:f>IF(R325&gt;0,"Gain",IF(R325&lt;0,"Loss","Neutral"))</x:f>
        <x:v>Loss</x:v>
      </x:c>
    </x:row>
    <x:row r="326">
      <x:c r="A326" t="n">
        <x:v>325</x:v>
      </x:c>
      <x:c r="B326" s="12" t="n">
        <x:v>46097</x:v>
      </x:c>
      <x:c r="C326" t="str">
        <x:v>Mar 16</x:v>
      </x:c>
      <x:c r="D326" t="n">
        <x:v>9</x:v>
      </x:c>
      <x:c r="E326" t="n">
        <x:v>5</x:v>
      </x:c>
      <x:c r="F326" s="14" t="n">
        <x:v>4</x:v>
      </x:c>
      <x:c r="G326" t="str">
        <x:v>2mo ago</x:v>
      </x:c>
      <x:c r="H326" t="str">
        <x:v>Competitive</x:v>
      </x:c>
      <x:c r="I326" t="str">
        <x:v>Domination</x:v>
      </x:c>
      <x:c r="J326" t="str">
        <x:v>Birnin T'Challa</x:v>
      </x:c>
      <x:c r="K326" t="str">
        <x:v>The Thing</x:v>
      </x:c>
      <x:c r="L326" t="str">
        <x:v>Loss</x:v>
      </x:c>
      <x:c r="M326" t="str"/>
      <x:c r="N326" t="n">
        <x:v>1</x:v>
      </x:c>
      <x:c r="O326" t="n">
        <x:v>2</x:v>
      </x:c>
      <x:c r="P326" t="str">
        <x:v>Diamond I</x:v>
      </x:c>
      <x:c r="Q326" t="n">
        <x:v>4433</x:v>
      </x:c>
      <x:c r="R326" s="14" t="n">
        <x:v>-20</x:v>
      </x:c>
      <x:c r="S326" t="n">
        <x:v>21</x:v>
      </x:c>
      <x:c r="T326" t="n">
        <x:v>13</x:v>
      </x:c>
      <x:c r="U326" t="n">
        <x:v>5</x:v>
      </x:c>
      <x:c r="V326" s="16" t="n">
        <x:v>2</x:v>
      </x:c>
      <x:c r="W326" t="str">
        <x:v>Parsed from Tracker.gg MHTML/PDF export; competitive rows only.</x:v>
      </x:c>
      <x:c r="X326" t="n">
        <x:f>IF(L326="Win",1,0)</x:f>
        <x:v>0</x:v>
      </x:c>
      <x:c r="Y326" s="14" t="n">
        <x:f>IF(L326="Loss",1,0)</x:f>
        <x:v>1</x:v>
      </x:c>
      <x:c r="Z326" t="n">
        <x:f>IF(L326="Draw/Unknown",1,0)</x:f>
        <x:v>0</x:v>
      </x:c>
      <x:c r="AA326" s="16" t="n">
        <x:f>IF(OR(N326="",O326=""),"",N326-O326)</x:f>
        <x:v>-1</x:v>
      </x:c>
      <x:c r="AB326" s="16" t="n">
        <x:f>IF(T326=0,S326+U326,(S326+U326)/T326)</x:f>
        <x:v>2</x:v>
      </x:c>
      <x:c r="AC326" t="n">
        <x:f>S326+U326</x:f>
        <x:v>26</x:v>
      </x:c>
      <x:c r="AD326" t="n">
        <x:f>IF(T326=0,1,0)</x:f>
        <x:v>0</x:v>
      </x:c>
      <x:c r="AE326" t="str">
        <x:f>IF(R326&gt;0,"Gain",IF(R326&lt;0,"Loss","Neutral"))</x:f>
        <x:v>Loss</x:v>
      </x:c>
    </x:row>
    <x:row r="327">
      <x:c r="A327" t="n">
        <x:v>326</x:v>
      </x:c>
      <x:c r="B327" s="12" t="n">
        <x:v>46097</x:v>
      </x:c>
      <x:c r="C327" t="str">
        <x:v>Mar 16</x:v>
      </x:c>
      <x:c r="D327" t="n">
        <x:v>9</x:v>
      </x:c>
      <x:c r="E327" t="n">
        <x:v>5</x:v>
      </x:c>
      <x:c r="F327" s="14" t="n">
        <x:v>4</x:v>
      </x:c>
      <x:c r="G327" t="str">
        <x:v>2mo ago</x:v>
      </x:c>
      <x:c r="H327" t="str">
        <x:v>Competitive</x:v>
      </x:c>
      <x:c r="I327" t="str">
        <x:v>Convergence</x:v>
      </x:c>
      <x:c r="J327" t="str">
        <x:v>Heart Of Heaven</x:v>
      </x:c>
      <x:c r="K327" t="str">
        <x:v>The Thing</x:v>
      </x:c>
      <x:c r="L327" t="str">
        <x:v>Loss</x:v>
      </x:c>
      <x:c r="M327" t="str"/>
      <x:c r="N327" t="n">
        <x:v>0</x:v>
      </x:c>
      <x:c r="O327" t="n">
        <x:v>0</x:v>
      </x:c>
      <x:c r="P327" t="str">
        <x:v>Diamond I</x:v>
      </x:c>
      <x:c r="Q327" t="n">
        <x:v>4453</x:v>
      </x:c>
      <x:c r="R327" s="14" t="n">
        <x:v>-22</x:v>
      </x:c>
      <x:c r="S327" t="n">
        <x:v>1</x:v>
      </x:c>
      <x:c r="T327" t="n">
        <x:v>6</x:v>
      </x:c>
      <x:c r="U327" t="n">
        <x:v>0</x:v>
      </x:c>
      <x:c r="V327" s="16" t="n">
        <x:v>0.17</x:v>
      </x:c>
      <x:c r="W327" t="str">
        <x:v>Parsed from Tracker.gg MHTML/PDF export; competitive rows only.</x:v>
      </x:c>
      <x:c r="X327" t="n">
        <x:f>IF(L327="Win",1,0)</x:f>
        <x:v>0</x:v>
      </x:c>
      <x:c r="Y327" s="14" t="n">
        <x:f>IF(L327="Loss",1,0)</x:f>
        <x:v>1</x:v>
      </x:c>
      <x:c r="Z327" t="n">
        <x:f>IF(L327="Draw/Unknown",1,0)</x:f>
        <x:v>0</x:v>
      </x:c>
      <x:c r="AA327" s="16" t="str">
        <x:f>IF(OR(N327="",O327=""),"",N327-O327)</x:f>
      </x:c>
      <x:c r="AB327" s="16" t="n">
        <x:f>IF(T327=0,S327+U327,(S327+U327)/T327)</x:f>
        <x:v>0.16666666666666666</x:v>
      </x:c>
      <x:c r="AC327" t="n">
        <x:f>S327+U327</x:f>
        <x:v>1</x:v>
      </x:c>
      <x:c r="AD327" t="n">
        <x:f>IF(T327=0,1,0)</x:f>
        <x:v>0</x:v>
      </x:c>
      <x:c r="AE327" t="str">
        <x:f>IF(R327&gt;0,"Gain",IF(R327&lt;0,"Loss","Neutral"))</x:f>
        <x:v>Loss</x:v>
      </x:c>
    </x:row>
    <x:row r="328">
      <x:c r="A328" t="n">
        <x:v>327</x:v>
      </x:c>
      <x:c r="B328" s="12" t="n">
        <x:v>46097</x:v>
      </x:c>
      <x:c r="C328" t="str">
        <x:v>Mar 16</x:v>
      </x:c>
      <x:c r="D328" t="n">
        <x:v>9</x:v>
      </x:c>
      <x:c r="E328" t="n">
        <x:v>5</x:v>
      </x:c>
      <x:c r="F328" s="14" t="n">
        <x:v>4</x:v>
      </x:c>
      <x:c r="G328" t="str">
        <x:v>2mo ago</x:v>
      </x:c>
      <x:c r="H328" t="str">
        <x:v>Competitive</x:v>
      </x:c>
      <x:c r="I328" t="str">
        <x:v>Convoy</x:v>
      </x:c>
      <x:c r="J328" t="str">
        <x:v>Museum of Contemplation</x:v>
      </x:c>
      <x:c r="K328" t="str">
        <x:v>The Thing</x:v>
      </x:c>
      <x:c r="L328" t="str">
        <x:v>Win</x:v>
      </x:c>
      <x:c r="M328" t="str">
        <x:v>MVP</x:v>
      </x:c>
      <x:c r="N328" t="n">
        <x:v>2</x:v>
      </x:c>
      <x:c r="O328" t="n">
        <x:v>3</x:v>
      </x:c>
      <x:c r="P328" t="str">
        <x:v>Diamond I</x:v>
      </x:c>
      <x:c r="Q328" t="n">
        <x:v>4474</x:v>
      </x:c>
      <x:c r="R328" s="14" t="n">
        <x:v>27</x:v>
      </x:c>
      <x:c r="S328" t="n">
        <x:v>35</x:v>
      </x:c>
      <x:c r="T328" t="n">
        <x:v>12</x:v>
      </x:c>
      <x:c r="U328" t="n">
        <x:v>16</x:v>
      </x:c>
      <x:c r="V328" s="16" t="n">
        <x:v>4.25</x:v>
      </x:c>
      <x:c r="W328" t="str">
        <x:v>Parsed from Tracker.gg MHTML/PDF export; competitive rows only.</x:v>
      </x:c>
      <x:c r="X328" t="n">
        <x:f>IF(L328="Win",1,0)</x:f>
        <x:v>1</x:v>
      </x:c>
      <x:c r="Y328" s="14" t="n">
        <x:f>IF(L328="Loss",1,0)</x:f>
        <x:v>0</x:v>
      </x:c>
      <x:c r="Z328" t="n">
        <x:f>IF(L328="Draw/Unknown",1,0)</x:f>
        <x:v>0</x:v>
      </x:c>
      <x:c r="AA328" s="16" t="n">
        <x:f>IF(OR(N328="",O328=""),"",N328-O328)</x:f>
        <x:v>-1</x:v>
      </x:c>
      <x:c r="AB328" s="16" t="n">
        <x:f>IF(T328=0,S328+U328,(S328+U328)/T328)</x:f>
        <x:v>4.25</x:v>
      </x:c>
      <x:c r="AC328" t="n">
        <x:f>S328+U328</x:f>
        <x:v>51</x:v>
      </x:c>
      <x:c r="AD328" t="n">
        <x:f>IF(T328=0,1,0)</x:f>
        <x:v>0</x:v>
      </x:c>
      <x:c r="AE328" t="str">
        <x:f>IF(R328&gt;0,"Gain",IF(R328&lt;0,"Loss","Neutral"))</x:f>
        <x:v>Gain</x:v>
      </x:c>
    </x:row>
    <x:row r="329">
      <x:c r="A329" t="n">
        <x:v>328</x:v>
      </x:c>
      <x:c r="B329" s="12" t="n">
        <x:v>46097</x:v>
      </x:c>
      <x:c r="C329" t="str">
        <x:v>Mar 16</x:v>
      </x:c>
      <x:c r="D329" t="n">
        <x:v>9</x:v>
      </x:c>
      <x:c r="E329" t="n">
        <x:v>5</x:v>
      </x:c>
      <x:c r="F329" s="14" t="n">
        <x:v>4</x:v>
      </x:c>
      <x:c r="G329" t="str">
        <x:v>2mo ago</x:v>
      </x:c>
      <x:c r="H329" t="str">
        <x:v>Competitive</x:v>
      </x:c>
      <x:c r="I329" t="str">
        <x:v>Convergence</x:v>
      </x:c>
      <x:c r="J329" t="str">
        <x:v>Hall Of Djalia</x:v>
      </x:c>
      <x:c r="K329" t="str">
        <x:v>The Thing</x:v>
      </x:c>
      <x:c r="L329" t="str">
        <x:v>Win</x:v>
      </x:c>
      <x:c r="M329" t="str">
        <x:v>MVP</x:v>
      </x:c>
      <x:c r="N329" t="n">
        <x:v>1</x:v>
      </x:c>
      <x:c r="O329" t="n">
        <x:v>1</x:v>
      </x:c>
      <x:c r="P329" t="str">
        <x:v>Diamond I</x:v>
      </x:c>
      <x:c r="Q329" t="n">
        <x:v>4446</x:v>
      </x:c>
      <x:c r="R329" s="14" t="n">
        <x:v>25</x:v>
      </x:c>
      <x:c r="S329" t="n">
        <x:v>19</x:v>
      </x:c>
      <x:c r="T329" t="n">
        <x:v>3</x:v>
      </x:c>
      <x:c r="U329" t="n">
        <x:v>4</x:v>
      </x:c>
      <x:c r="V329" s="16" t="n">
        <x:v>7.67</x:v>
      </x:c>
      <x:c r="W329" t="str">
        <x:v>Parsed from Tracker.gg MHTML/PDF export; competitive rows only.</x:v>
      </x:c>
      <x:c r="X329" t="n">
        <x:f>IF(L329="Win",1,0)</x:f>
        <x:v>1</x:v>
      </x:c>
      <x:c r="Y329" s="14" t="n">
        <x:f>IF(L329="Loss",1,0)</x:f>
        <x:v>0</x:v>
      </x:c>
      <x:c r="Z329" t="n">
        <x:f>IF(L329="Draw/Unknown",1,0)</x:f>
        <x:v>0</x:v>
      </x:c>
      <x:c r="AA329" s="16" t="n">
        <x:f>IF(OR(N329="",O329=""),"",N329-O329)</x:f>
        <x:v>0</x:v>
      </x:c>
      <x:c r="AB329" s="16" t="n">
        <x:f>IF(T329=0,S329+U329,(S329+U329)/T329)</x:f>
        <x:v>7.666666666666667</x:v>
      </x:c>
      <x:c r="AC329" t="n">
        <x:f>S329+U329</x:f>
        <x:v>23</x:v>
      </x:c>
      <x:c r="AD329" t="n">
        <x:f>IF(T329=0,1,0)</x:f>
        <x:v>0</x:v>
      </x:c>
      <x:c r="AE329" t="str">
        <x:f>IF(R329&gt;0,"Gain",IF(R329&lt;0,"Loss","Neutral"))</x:f>
        <x:v>Gain</x:v>
      </x:c>
    </x:row>
    <x:row r="330">
      <x:c r="A330" t="n">
        <x:v>329</x:v>
      </x:c>
      <x:c r="B330" s="12" t="n">
        <x:v>46097</x:v>
      </x:c>
      <x:c r="C330" t="str">
        <x:v>Mar 16</x:v>
      </x:c>
      <x:c r="D330" t="n">
        <x:v>9</x:v>
      </x:c>
      <x:c r="E330" t="n">
        <x:v>5</x:v>
      </x:c>
      <x:c r="F330" s="14" t="n">
        <x:v>4</x:v>
      </x:c>
      <x:c r="G330" t="str">
        <x:v>2mo ago</x:v>
      </x:c>
      <x:c r="H330" t="str">
        <x:v>Competitive</x:v>
      </x:c>
      <x:c r="I330" t="str">
        <x:v>Convoy</x:v>
      </x:c>
      <x:c r="J330" t="str">
        <x:v>Spider-Islands</x:v>
      </x:c>
      <x:c r="K330" t="str">
        <x:v>Peni Parker</x:v>
      </x:c>
      <x:c r="L330" t="str">
        <x:v>Win</x:v>
      </x:c>
      <x:c r="M330" t="str"/>
      <x:c r="N330" t="n">
        <x:v>0</x:v>
      </x:c>
      <x:c r="O330" t="n">
        <x:v>1</x:v>
      </x:c>
      <x:c r="P330" t="str">
        <x:v>Diamond I</x:v>
      </x:c>
      <x:c r="Q330" t="n">
        <x:v>4421</x:v>
      </x:c>
      <x:c r="R330" s="14" t="n">
        <x:v>25</x:v>
      </x:c>
      <x:c r="S330" t="n">
        <x:v>13</x:v>
      </x:c>
      <x:c r="T330" t="n">
        <x:v>4</x:v>
      </x:c>
      <x:c r="U330" t="n">
        <x:v>13</x:v>
      </x:c>
      <x:c r="V330" s="16" t="n">
        <x:v>6.5</x:v>
      </x:c>
      <x:c r="W330" t="str">
        <x:v>Parsed from Tracker.gg MHTML/PDF export; competitive rows only.</x:v>
      </x:c>
      <x:c r="X330" t="n">
        <x:f>IF(L330="Win",1,0)</x:f>
        <x:v>1</x:v>
      </x:c>
      <x:c r="Y330" s="14" t="n">
        <x:f>IF(L330="Loss",1,0)</x:f>
        <x:v>0</x:v>
      </x:c>
      <x:c r="Z330" t="n">
        <x:f>IF(L330="Draw/Unknown",1,0)</x:f>
        <x:v>0</x:v>
      </x:c>
      <x:c r="AA330" s="16" t="str">
        <x:f>IF(OR(N330="",O330=""),"",N330-O330)</x:f>
      </x:c>
      <x:c r="AB330" s="16" t="n">
        <x:f>IF(T330=0,S330+U330,(S330+U330)/T330)</x:f>
        <x:v>6.5</x:v>
      </x:c>
      <x:c r="AC330" t="n">
        <x:f>S330+U330</x:f>
        <x:v>26</x:v>
      </x:c>
      <x:c r="AD330" t="n">
        <x:f>IF(T330=0,1,0)</x:f>
        <x:v>0</x:v>
      </x:c>
      <x:c r="AE330" t="str">
        <x:f>IF(R330&gt;0,"Gain",IF(R330&lt;0,"Loss","Neutral"))</x:f>
        <x:v>Gain</x:v>
      </x:c>
    </x:row>
    <x:row r="331">
      <x:c r="A331" t="n">
        <x:v>330</x:v>
      </x:c>
      <x:c r="B331" s="12" t="n">
        <x:v>46097</x:v>
      </x:c>
      <x:c r="C331" t="str">
        <x:v>Mar 16</x:v>
      </x:c>
      <x:c r="D331" t="n">
        <x:v>9</x:v>
      </x:c>
      <x:c r="E331" t="n">
        <x:v>5</x:v>
      </x:c>
      <x:c r="F331" s="14" t="n">
        <x:v>4</x:v>
      </x:c>
      <x:c r="G331" t="str">
        <x:v>2mo ago</x:v>
      </x:c>
      <x:c r="H331" t="str">
        <x:v>Competitive</x:v>
      </x:c>
      <x:c r="I331" t="str">
        <x:v>Domination</x:v>
      </x:c>
      <x:c r="J331" t="str">
        <x:v>Celestial Husk</x:v>
      </x:c>
      <x:c r="K331" t="str">
        <x:v>The Thing</x:v>
      </x:c>
      <x:c r="L331" t="str">
        <x:v>Loss</x:v>
      </x:c>
      <x:c r="M331" t="str">
        <x:v>SVP</x:v>
      </x:c>
      <x:c r="N331" t="n">
        <x:v>1</x:v>
      </x:c>
      <x:c r="O331" t="n">
        <x:v>2</x:v>
      </x:c>
      <x:c r="P331" t="str">
        <x:v>Diamond I</x:v>
      </x:c>
      <x:c r="Q331" t="n">
        <x:v>4396</x:v>
      </x:c>
      <x:c r="R331" s="14" t="n">
        <x:v>-17</x:v>
      </x:c>
      <x:c r="S331" t="n">
        <x:v>19</x:v>
      </x:c>
      <x:c r="T331" t="n">
        <x:v>10</x:v>
      </x:c>
      <x:c r="U331" t="n">
        <x:v>10</x:v>
      </x:c>
      <x:c r="V331" s="16" t="n">
        <x:v>2.9</x:v>
      </x:c>
      <x:c r="W331" t="str">
        <x:v>Parsed from Tracker.gg MHTML/PDF export; competitive rows only.</x:v>
      </x:c>
      <x:c r="X331" t="n">
        <x:f>IF(L331="Win",1,0)</x:f>
        <x:v>0</x:v>
      </x:c>
      <x:c r="Y331" s="14" t="n">
        <x:f>IF(L331="Loss",1,0)</x:f>
        <x:v>1</x:v>
      </x:c>
      <x:c r="Z331" t="n">
        <x:f>IF(L331="Draw/Unknown",1,0)</x:f>
        <x:v>0</x:v>
      </x:c>
      <x:c r="AA331" s="16" t="n">
        <x:f>IF(OR(N331="",O331=""),"",N331-O331)</x:f>
        <x:v>-1</x:v>
      </x:c>
      <x:c r="AB331" s="16" t="n">
        <x:f>IF(T331=0,S331+U331,(S331+U331)/T331)</x:f>
        <x:v>2.9</x:v>
      </x:c>
      <x:c r="AC331" t="n">
        <x:f>S331+U331</x:f>
        <x:v>29</x:v>
      </x:c>
      <x:c r="AD331" t="n">
        <x:f>IF(T331=0,1,0)</x:f>
        <x:v>0</x:v>
      </x:c>
      <x:c r="AE331" t="str">
        <x:f>IF(R331&gt;0,"Gain",IF(R331&lt;0,"Loss","Neutral"))</x:f>
        <x:v>Loss</x:v>
      </x:c>
    </x:row>
    <x:row r="332">
      <x:c r="A332" t="n">
        <x:v>331</x:v>
      </x:c>
      <x:c r="B332" s="12" t="n">
        <x:v>46094</x:v>
      </x:c>
      <x:c r="C332" t="str">
        <x:v>Mar 13</x:v>
      </x:c>
      <x:c r="D332" t="n">
        <x:v>5</x:v>
      </x:c>
      <x:c r="E332" t="n">
        <x:v>1</x:v>
      </x:c>
      <x:c r="F332" s="14" t="n">
        <x:v>4</x:v>
      </x:c>
      <x:c r="G332" t="str">
        <x:v>2mo ago</x:v>
      </x:c>
      <x:c r="H332" t="str">
        <x:v>Competitive</x:v>
      </x:c>
      <x:c r="I332" t="str">
        <x:v>Convergence</x:v>
      </x:c>
      <x:c r="J332" t="str">
        <x:v>Symbiotic Surface</x:v>
      </x:c>
      <x:c r="K332" t="str">
        <x:v>Hela</x:v>
      </x:c>
      <x:c r="L332" t="str">
        <x:v>Loss</x:v>
      </x:c>
      <x:c r="M332" t="str"/>
      <x:c r="N332" t="n">
        <x:v>4</x:v>
      </x:c>
      <x:c r="O332" t="n">
        <x:v>3</x:v>
      </x:c>
      <x:c r="P332" t="str">
        <x:v>Diamond I</x:v>
      </x:c>
      <x:c r="Q332" t="n">
        <x:v>4412</x:v>
      </x:c>
      <x:c r="R332" s="14" t="n">
        <x:v>-21</x:v>
      </x:c>
      <x:c r="S332" t="n">
        <x:v>31</x:v>
      </x:c>
      <x:c r="T332" t="n">
        <x:v>13</x:v>
      </x:c>
      <x:c r="U332" t="n">
        <x:v>1</x:v>
      </x:c>
      <x:c r="V332" s="16" t="n">
        <x:v>2.46</x:v>
      </x:c>
      <x:c r="W332" t="str">
        <x:v>Parsed from Tracker.gg MHTML/PDF export; competitive rows only.</x:v>
      </x:c>
      <x:c r="X332" t="n">
        <x:f>IF(L332="Win",1,0)</x:f>
        <x:v>0</x:v>
      </x:c>
      <x:c r="Y332" s="14" t="n">
        <x:f>IF(L332="Loss",1,0)</x:f>
        <x:v>1</x:v>
      </x:c>
      <x:c r="Z332" t="n">
        <x:f>IF(L332="Draw/Unknown",1,0)</x:f>
        <x:v>0</x:v>
      </x:c>
      <x:c r="AA332" s="16" t="n">
        <x:f>IF(OR(N332="",O332=""),"",N332-O332)</x:f>
        <x:v>1</x:v>
      </x:c>
      <x:c r="AB332" s="16" t="n">
        <x:f>IF(T332=0,S332+U332,(S332+U332)/T332)</x:f>
        <x:v>2.4615384615384617</x:v>
      </x:c>
      <x:c r="AC332" t="n">
        <x:f>S332+U332</x:f>
        <x:v>32</x:v>
      </x:c>
      <x:c r="AD332" t="n">
        <x:f>IF(T332=0,1,0)</x:f>
        <x:v>0</x:v>
      </x:c>
      <x:c r="AE332" t="str">
        <x:f>IF(R332&gt;0,"Gain",IF(R332&lt;0,"Loss","Neutral"))</x:f>
        <x:v>Loss</x:v>
      </x:c>
    </x:row>
    <x:row r="333">
      <x:c r="A333" t="n">
        <x:v>332</x:v>
      </x:c>
      <x:c r="B333" s="12" t="n">
        <x:v>46094</x:v>
      </x:c>
      <x:c r="C333" t="str">
        <x:v>Mar 13</x:v>
      </x:c>
      <x:c r="D333" t="n">
        <x:v>5</x:v>
      </x:c>
      <x:c r="E333" t="n">
        <x:v>1</x:v>
      </x:c>
      <x:c r="F333" s="14" t="n">
        <x:v>4</x:v>
      </x:c>
      <x:c r="G333" t="str">
        <x:v>2mo ago</x:v>
      </x:c>
      <x:c r="H333" t="str">
        <x:v>Competitive</x:v>
      </x:c>
      <x:c r="I333" t="str">
        <x:v>Convoy</x:v>
      </x:c>
      <x:c r="J333" t="str">
        <x:v>Museum of Contemplation</x:v>
      </x:c>
      <x:c r="K333" t="str">
        <x:v>The Thing</x:v>
      </x:c>
      <x:c r="L333" t="str">
        <x:v>Loss</x:v>
      </x:c>
      <x:c r="M333" t="str"/>
      <x:c r="N333" t="n">
        <x:v>3</x:v>
      </x:c>
      <x:c r="O333" t="n">
        <x:v>2</x:v>
      </x:c>
      <x:c r="P333" t="str">
        <x:v>Diamond I</x:v>
      </x:c>
      <x:c r="Q333" t="n">
        <x:v>4433</x:v>
      </x:c>
      <x:c r="R333" s="14" t="n">
        <x:v>-20</x:v>
      </x:c>
      <x:c r="S333" t="n">
        <x:v>31</x:v>
      </x:c>
      <x:c r="T333" t="n">
        <x:v>11</x:v>
      </x:c>
      <x:c r="U333" t="n">
        <x:v>18</x:v>
      </x:c>
      <x:c r="V333" s="16" t="n">
        <x:v>4.45</x:v>
      </x:c>
      <x:c r="W333" t="str">
        <x:v>Parsed from Tracker.gg MHTML/PDF export; competitive rows only.</x:v>
      </x:c>
      <x:c r="X333" t="n">
        <x:f>IF(L333="Win",1,0)</x:f>
        <x:v>0</x:v>
      </x:c>
      <x:c r="Y333" s="14" t="n">
        <x:f>IF(L333="Loss",1,0)</x:f>
        <x:v>1</x:v>
      </x:c>
      <x:c r="Z333" t="n">
        <x:f>IF(L333="Draw/Unknown",1,0)</x:f>
        <x:v>0</x:v>
      </x:c>
      <x:c r="AA333" s="16" t="n">
        <x:f>IF(OR(N333="",O333=""),"",N333-O333)</x:f>
        <x:v>1</x:v>
      </x:c>
      <x:c r="AB333" s="16" t="n">
        <x:f>IF(T333=0,S333+U333,(S333+U333)/T333)</x:f>
        <x:v>4.454545454545454</x:v>
      </x:c>
      <x:c r="AC333" t="n">
        <x:f>S333+U333</x:f>
        <x:v>49</x:v>
      </x:c>
      <x:c r="AD333" t="n">
        <x:f>IF(T333=0,1,0)</x:f>
        <x:v>0</x:v>
      </x:c>
      <x:c r="AE333" t="str">
        <x:f>IF(R333&gt;0,"Gain",IF(R333&lt;0,"Loss","Neutral"))</x:f>
        <x:v>Loss</x:v>
      </x:c>
    </x:row>
    <x:row r="334">
      <x:c r="A334" t="n">
        <x:v>333</x:v>
      </x:c>
      <x:c r="B334" s="12" t="n">
        <x:v>46088</x:v>
      </x:c>
      <x:c r="C334" t="str">
        <x:v>Mar 7</x:v>
      </x:c>
      <x:c r="D334" t="n">
        <x:v>2</x:v>
      </x:c>
      <x:c r="E334" t="n">
        <x:v>0</x:v>
      </x:c>
      <x:c r="F334" s="14" t="n">
        <x:v>2</x:v>
      </x:c>
      <x:c r="G334" t="str">
        <x:v>2mo ago</x:v>
      </x:c>
      <x:c r="H334" t="str">
        <x:v>Competitive</x:v>
      </x:c>
      <x:c r="I334" t="str">
        <x:v>Convoy</x:v>
      </x:c>
      <x:c r="J334" t="str">
        <x:v>Midtown</x:v>
      </x:c>
      <x:c r="K334" t="str">
        <x:v>Namor</x:v>
      </x:c>
      <x:c r="L334" t="str">
        <x:v>Loss</x:v>
      </x:c>
      <x:c r="M334" t="str"/>
      <x:c r="N334" t="n">
        <x:v>3</x:v>
      </x:c>
      <x:c r="O334" t="n">
        <x:v>4</x:v>
      </x:c>
      <x:c r="P334" t="str">
        <x:v>Diamond I</x:v>
      </x:c>
      <x:c r="Q334" t="n">
        <x:v>4452</x:v>
      </x:c>
      <x:c r="R334" s="14" t="n">
        <x:v>-19</x:v>
      </x:c>
      <x:c r="S334" t="n">
        <x:v>24</x:v>
      </x:c>
      <x:c r="T334" t="n">
        <x:v>11</x:v>
      </x:c>
      <x:c r="U334" t="n">
        <x:v>4</x:v>
      </x:c>
      <x:c r="V334" s="16" t="n">
        <x:v>2.55</x:v>
      </x:c>
      <x:c r="W334" t="str">
        <x:v>Parsed from Tracker.gg MHTML/PDF export; competitive rows only.</x:v>
      </x:c>
      <x:c r="X334" t="n">
        <x:f>IF(L334="Win",1,0)</x:f>
        <x:v>0</x:v>
      </x:c>
      <x:c r="Y334" s="14" t="n">
        <x:f>IF(L334="Loss",1,0)</x:f>
        <x:v>1</x:v>
      </x:c>
      <x:c r="Z334" t="n">
        <x:f>IF(L334="Draw/Unknown",1,0)</x:f>
        <x:v>0</x:v>
      </x:c>
      <x:c r="AA334" s="16" t="n">
        <x:f>IF(OR(N334="",O334=""),"",N334-O334)</x:f>
        <x:v>-1</x:v>
      </x:c>
      <x:c r="AB334" s="16" t="n">
        <x:f>IF(T334=0,S334+U334,(S334+U334)/T334)</x:f>
        <x:v>2.5454545454545454</x:v>
      </x:c>
      <x:c r="AC334" t="n">
        <x:f>S334+U334</x:f>
        <x:v>28</x:v>
      </x:c>
      <x:c r="AD334" t="n">
        <x:f>IF(T334=0,1,0)</x:f>
        <x:v>0</x:v>
      </x:c>
      <x:c r="AE334" t="str">
        <x:f>IF(R334&gt;0,"Gain",IF(R334&lt;0,"Loss","Neutral"))</x:f>
        <x:v>Loss</x:v>
      </x:c>
    </x:row>
    <x:row r="335">
      <x:c r="A335" t="n">
        <x:v>334</x:v>
      </x:c>
      <x:c r="B335" s="12" t="n">
        <x:v>46088</x:v>
      </x:c>
      <x:c r="C335" t="str">
        <x:v>Mar 7</x:v>
      </x:c>
      <x:c r="D335" t="n">
        <x:v>2</x:v>
      </x:c>
      <x:c r="E335" t="n">
        <x:v>0</x:v>
      </x:c>
      <x:c r="F335" s="14" t="n">
        <x:v>2</x:v>
      </x:c>
      <x:c r="G335" t="str">
        <x:v>2mo ago</x:v>
      </x:c>
      <x:c r="H335" t="str">
        <x:v>Competitive</x:v>
      </x:c>
      <x:c r="I335" t="str">
        <x:v>Convergence</x:v>
      </x:c>
      <x:c r="J335" t="str">
        <x:v>Central Park</x:v>
      </x:c>
      <x:c r="K335" t="str">
        <x:v>Namor</x:v>
      </x:c>
      <x:c r="L335" t="str">
        <x:v>Loss</x:v>
      </x:c>
      <x:c r="M335" t="str">
        <x:v>SVP</x:v>
      </x:c>
      <x:c r="N335" t="n">
        <x:v>2</x:v>
      </x:c>
      <x:c r="O335" t="n">
        <x:v>3</x:v>
      </x:c>
      <x:c r="P335" t="str">
        <x:v>Diamond I</x:v>
      </x:c>
      <x:c r="Q335" t="n">
        <x:v>4470</x:v>
      </x:c>
      <x:c r="R335" s="14" t="n">
        <x:v>-16</x:v>
      </x:c>
      <x:c r="S335" t="n">
        <x:v>40</x:v>
      </x:c>
      <x:c r="T335" t="n">
        <x:v>12</x:v>
      </x:c>
      <x:c r="U335" t="n">
        <x:v>4</x:v>
      </x:c>
      <x:c r="V335" s="16" t="n">
        <x:v>3.67</x:v>
      </x:c>
      <x:c r="W335" t="str">
        <x:v>Parsed from Tracker.gg MHTML/PDF export; competitive rows only.</x:v>
      </x:c>
      <x:c r="X335" t="n">
        <x:f>IF(L335="Win",1,0)</x:f>
        <x:v>0</x:v>
      </x:c>
      <x:c r="Y335" s="14" t="n">
        <x:f>IF(L335="Loss",1,0)</x:f>
        <x:v>1</x:v>
      </x:c>
      <x:c r="Z335" t="n">
        <x:f>IF(L335="Draw/Unknown",1,0)</x:f>
        <x:v>0</x:v>
      </x:c>
      <x:c r="AA335" s="16" t="n">
        <x:f>IF(OR(N335="",O335=""),"",N335-O335)</x:f>
        <x:v>-1</x:v>
      </x:c>
      <x:c r="AB335" s="16" t="n">
        <x:f>IF(T335=0,S335+U335,(S335+U335)/T335)</x:f>
        <x:v>3.6666666666666665</x:v>
      </x:c>
      <x:c r="AC335" t="n">
        <x:f>S335+U335</x:f>
        <x:v>44</x:v>
      </x:c>
      <x:c r="AD335" t="n">
        <x:f>IF(T335=0,1,0)</x:f>
        <x:v>0</x:v>
      </x:c>
      <x:c r="AE335" t="str">
        <x:f>IF(R335&gt;0,"Gain",IF(R335&lt;0,"Loss","Neutral"))</x:f>
        <x:v>Loss</x:v>
      </x:c>
    </x:row>
    <x:row r="336">
      <x:c r="A336" t="n">
        <x:v>335</x:v>
      </x:c>
      <x:c r="B336" s="12" t="n">
        <x:v>46087</x:v>
      </x:c>
      <x:c r="C336" t="str">
        <x:v>Mar 6</x:v>
      </x:c>
      <x:c r="D336" t="n">
        <x:v>19</x:v>
      </x:c>
      <x:c r="E336" t="n">
        <x:v>7</x:v>
      </x:c>
      <x:c r="F336" s="14" t="n">
        <x:v>12</x:v>
      </x:c>
      <x:c r="G336" t="str">
        <x:v>2mo ago</x:v>
      </x:c>
      <x:c r="H336" t="str">
        <x:v>Competitive</x:v>
      </x:c>
      <x:c r="I336" t="str">
        <x:v>Domination</x:v>
      </x:c>
      <x:c r="J336" t="str">
        <x:v>Birnin T'Challa</x:v>
      </x:c>
      <x:c r="K336" t="str">
        <x:v>Namor</x:v>
      </x:c>
      <x:c r="L336" t="str">
        <x:v>Win</x:v>
      </x:c>
      <x:c r="M336" t="str"/>
      <x:c r="N336" t="n">
        <x:v>2</x:v>
      </x:c>
      <x:c r="O336" t="n">
        <x:v>0</x:v>
      </x:c>
      <x:c r="P336" t="str">
        <x:v>Diamond I</x:v>
      </x:c>
      <x:c r="Q336" t="n">
        <x:v>4486</x:v>
      </x:c>
      <x:c r="R336" s="14" t="n">
        <x:v>24</x:v>
      </x:c>
      <x:c r="S336" t="n">
        <x:v>19</x:v>
      </x:c>
      <x:c r="T336" t="n">
        <x:v>3</x:v>
      </x:c>
      <x:c r="U336" t="n">
        <x:v>1</x:v>
      </x:c>
      <x:c r="V336" s="16" t="n">
        <x:v>6.67</x:v>
      </x:c>
      <x:c r="W336" t="str">
        <x:v>Parsed from Tracker.gg MHTML/PDF export; competitive rows only.</x:v>
      </x:c>
      <x:c r="X336" t="n">
        <x:f>IF(L336="Win",1,0)</x:f>
        <x:v>1</x:v>
      </x:c>
      <x:c r="Y336" s="14" t="n">
        <x:f>IF(L336="Loss",1,0)</x:f>
        <x:v>0</x:v>
      </x:c>
      <x:c r="Z336" t="n">
        <x:f>IF(L336="Draw/Unknown",1,0)</x:f>
        <x:v>0</x:v>
      </x:c>
      <x:c r="AA336" s="16" t="str">
        <x:f>IF(OR(N336="",O336=""),"",N336-O336)</x:f>
      </x:c>
      <x:c r="AB336" s="16" t="n">
        <x:f>IF(T336=0,S336+U336,(S336+U336)/T336)</x:f>
        <x:v>6.666666666666667</x:v>
      </x:c>
      <x:c r="AC336" t="n">
        <x:f>S336+U336</x:f>
        <x:v>20</x:v>
      </x:c>
      <x:c r="AD336" t="n">
        <x:f>IF(T336=0,1,0)</x:f>
        <x:v>0</x:v>
      </x:c>
      <x:c r="AE336" t="str">
        <x:f>IF(R336&gt;0,"Gain",IF(R336&lt;0,"Loss","Neutral"))</x:f>
        <x:v>Gain</x:v>
      </x:c>
    </x:row>
    <x:row r="337">
      <x:c r="A337" t="n">
        <x:v>336</x:v>
      </x:c>
      <x:c r="B337" s="12" t="n">
        <x:v>46087</x:v>
      </x:c>
      <x:c r="C337" t="str">
        <x:v>Mar 6</x:v>
      </x:c>
      <x:c r="D337" t="n">
        <x:v>19</x:v>
      </x:c>
      <x:c r="E337" t="n">
        <x:v>7</x:v>
      </x:c>
      <x:c r="F337" s="14" t="n">
        <x:v>12</x:v>
      </x:c>
      <x:c r="G337" t="str">
        <x:v>2mo ago</x:v>
      </x:c>
      <x:c r="H337" t="str">
        <x:v>Competitive</x:v>
      </x:c>
      <x:c r="I337" t="str">
        <x:v>Convergence</x:v>
      </x:c>
      <x:c r="J337" t="str">
        <x:v>Heart Of Heaven</x:v>
      </x:c>
      <x:c r="K337" t="str">
        <x:v>Namor</x:v>
      </x:c>
      <x:c r="L337" t="str">
        <x:v>Loss</x:v>
      </x:c>
      <x:c r="M337" t="str"/>
      <x:c r="N337" t="n">
        <x:v>3</x:v>
      </x:c>
      <x:c r="O337" t="n">
        <x:v>0</x:v>
      </x:c>
      <x:c r="P337" t="str">
        <x:v>Diamond I</x:v>
      </x:c>
      <x:c r="Q337" t="n">
        <x:v>4462</x:v>
      </x:c>
      <x:c r="R337" s="14" t="n">
        <x:v>-20</x:v>
      </x:c>
      <x:c r="S337" t="n">
        <x:v>1</x:v>
      </x:c>
      <x:c r="T337" t="n">
        <x:v>7</x:v>
      </x:c>
      <x:c r="U337" t="n">
        <x:v>0</x:v>
      </x:c>
      <x:c r="V337" s="16" t="n">
        <x:v>0.14</x:v>
      </x:c>
      <x:c r="W337" t="str">
        <x:v>Parsed from Tracker.gg MHTML/PDF export; competitive rows only.</x:v>
      </x:c>
      <x:c r="X337" t="n">
        <x:f>IF(L337="Win",1,0)</x:f>
        <x:v>0</x:v>
      </x:c>
      <x:c r="Y337" s="14" t="n">
        <x:f>IF(L337="Loss",1,0)</x:f>
        <x:v>1</x:v>
      </x:c>
      <x:c r="Z337" t="n">
        <x:f>IF(L337="Draw/Unknown",1,0)</x:f>
        <x:v>0</x:v>
      </x:c>
      <x:c r="AA337" s="16" t="str">
        <x:f>IF(OR(N337="",O337=""),"",N337-O337)</x:f>
      </x:c>
      <x:c r="AB337" s="16" t="n">
        <x:f>IF(T337=0,S337+U337,(S337+U337)/T337)</x:f>
        <x:v>0.14285714285714285</x:v>
      </x:c>
      <x:c r="AC337" t="n">
        <x:f>S337+U337</x:f>
        <x:v>1</x:v>
      </x:c>
      <x:c r="AD337" t="n">
        <x:f>IF(T337=0,1,0)</x:f>
        <x:v>0</x:v>
      </x:c>
      <x:c r="AE337" t="str">
        <x:f>IF(R337&gt;0,"Gain",IF(R337&lt;0,"Loss","Neutral"))</x:f>
        <x:v>Loss</x:v>
      </x:c>
    </x:row>
    <x:row r="338">
      <x:c r="A338" t="n">
        <x:v>337</x:v>
      </x:c>
      <x:c r="B338" s="12" t="n">
        <x:v>46087</x:v>
      </x:c>
      <x:c r="C338" t="str">
        <x:v>Mar 6</x:v>
      </x:c>
      <x:c r="D338" t="n">
        <x:v>19</x:v>
      </x:c>
      <x:c r="E338" t="n">
        <x:v>7</x:v>
      </x:c>
      <x:c r="F338" s="14" t="n">
        <x:v>12</x:v>
      </x:c>
      <x:c r="G338" t="str">
        <x:v>2mo ago</x:v>
      </x:c>
      <x:c r="H338" t="str">
        <x:v>Competitive</x:v>
      </x:c>
      <x:c r="I338" t="str">
        <x:v>Domination</x:v>
      </x:c>
      <x:c r="J338" t="str">
        <x:v>Hell's Heaven</x:v>
      </x:c>
      <x:c r="K338" t="str">
        <x:v>The Thing</x:v>
      </x:c>
      <x:c r="L338" t="str">
        <x:v>Loss</x:v>
      </x:c>
      <x:c r="M338" t="str"/>
      <x:c r="N338" t="n">
        <x:v>2</x:v>
      </x:c>
      <x:c r="O338" t="n">
        <x:v>0</x:v>
      </x:c>
      <x:c r="P338" t="str">
        <x:v>Grandmaster III</x:v>
      </x:c>
      <x:c r="Q338" t="n">
        <x:v>4481</x:v>
      </x:c>
      <x:c r="R338" s="14" t="n">
        <x:v>-17</x:v>
      </x:c>
      <x:c r="S338" t="n">
        <x:v>11</x:v>
      </x:c>
      <x:c r="T338" t="n">
        <x:v>7</x:v>
      </x:c>
      <x:c r="U338" t="n">
        <x:v>7</x:v>
      </x:c>
      <x:c r="V338" s="16" t="n">
        <x:v>2.57</x:v>
      </x:c>
      <x:c r="W338" t="str">
        <x:v>Parsed from Tracker.gg MHTML/PDF export; competitive rows only.</x:v>
      </x:c>
      <x:c r="X338" t="n">
        <x:f>IF(L338="Win",1,0)</x:f>
        <x:v>0</x:v>
      </x:c>
      <x:c r="Y338" s="14" t="n">
        <x:f>IF(L338="Loss",1,0)</x:f>
        <x:v>1</x:v>
      </x:c>
      <x:c r="Z338" t="n">
        <x:f>IF(L338="Draw/Unknown",1,0)</x:f>
        <x:v>0</x:v>
      </x:c>
      <x:c r="AA338" s="16" t="str">
        <x:f>IF(OR(N338="",O338=""),"",N338-O338)</x:f>
      </x:c>
      <x:c r="AB338" s="16" t="n">
        <x:f>IF(T338=0,S338+U338,(S338+U338)/T338)</x:f>
        <x:v>2.5714285714285716</x:v>
      </x:c>
      <x:c r="AC338" t="n">
        <x:f>S338+U338</x:f>
        <x:v>18</x:v>
      </x:c>
      <x:c r="AD338" t="n">
        <x:f>IF(T338=0,1,0)</x:f>
        <x:v>0</x:v>
      </x:c>
      <x:c r="AE338" t="str">
        <x:f>IF(R338&gt;0,"Gain",IF(R338&lt;0,"Loss","Neutral"))</x:f>
        <x:v>Loss</x:v>
      </x:c>
    </x:row>
    <x:row r="339">
      <x:c r="A339" t="n">
        <x:v>338</x:v>
      </x:c>
      <x:c r="B339" s="12" t="n">
        <x:v>46087</x:v>
      </x:c>
      <x:c r="C339" t="str">
        <x:v>Mar 6</x:v>
      </x:c>
      <x:c r="D339" t="n">
        <x:v>19</x:v>
      </x:c>
      <x:c r="E339" t="n">
        <x:v>7</x:v>
      </x:c>
      <x:c r="F339" s="14" t="n">
        <x:v>12</x:v>
      </x:c>
      <x:c r="G339" t="str">
        <x:v>2mo ago</x:v>
      </x:c>
      <x:c r="H339" t="str">
        <x:v>Competitive</x:v>
      </x:c>
      <x:c r="I339" t="str">
        <x:v>Convergence</x:v>
      </x:c>
      <x:c r="J339" t="str">
        <x:v>Hall Of Djalia</x:v>
      </x:c>
      <x:c r="K339" t="str">
        <x:v>Doctor Strange</x:v>
      </x:c>
      <x:c r="L339" t="str">
        <x:v>Loss</x:v>
      </x:c>
      <x:c r="M339" t="str"/>
      <x:c r="N339" t="n">
        <x:v>1</x:v>
      </x:c>
      <x:c r="O339" t="n">
        <x:v>0</x:v>
      </x:c>
      <x:c r="P339" t="str">
        <x:v>Grandmaster III</x:v>
      </x:c>
      <x:c r="Q339" t="n">
        <x:v>4497</x:v>
      </x:c>
      <x:c r="R339" s="14" t="n">
        <x:v>-19</x:v>
      </x:c>
      <x:c r="S339" t="n">
        <x:v>12</x:v>
      </x:c>
      <x:c r="T339" t="n">
        <x:v>11</x:v>
      </x:c>
      <x:c r="U339" t="n">
        <x:v>1</x:v>
      </x:c>
      <x:c r="V339" s="16" t="n">
        <x:v>1.18</x:v>
      </x:c>
      <x:c r="W339" t="str">
        <x:v>Parsed from Tracker.gg MHTML/PDF export; competitive rows only.</x:v>
      </x:c>
      <x:c r="X339" t="n">
        <x:f>IF(L339="Win",1,0)</x:f>
        <x:v>0</x:v>
      </x:c>
      <x:c r="Y339" s="14" t="n">
        <x:f>IF(L339="Loss",1,0)</x:f>
        <x:v>1</x:v>
      </x:c>
      <x:c r="Z339" t="n">
        <x:f>IF(L339="Draw/Unknown",1,0)</x:f>
        <x:v>0</x:v>
      </x:c>
      <x:c r="AA339" s="16" t="str">
        <x:f>IF(OR(N339="",O339=""),"",N339-O339)</x:f>
      </x:c>
      <x:c r="AB339" s="16" t="n">
        <x:f>IF(T339=0,S339+U339,(S339+U339)/T339)</x:f>
        <x:v>1.1818181818181819</x:v>
      </x:c>
      <x:c r="AC339" t="n">
        <x:f>S339+U339</x:f>
        <x:v>13</x:v>
      </x:c>
      <x:c r="AD339" t="n">
        <x:f>IF(T339=0,1,0)</x:f>
        <x:v>0</x:v>
      </x:c>
      <x:c r="AE339" t="str">
        <x:f>IF(R339&gt;0,"Gain",IF(R339&lt;0,"Loss","Neutral"))</x:f>
        <x:v>Loss</x:v>
      </x:c>
    </x:row>
    <x:row r="340">
      <x:c r="A340" t="n">
        <x:v>339</x:v>
      </x:c>
      <x:c r="B340" s="12" t="n">
        <x:v>46087</x:v>
      </x:c>
      <x:c r="C340" t="str">
        <x:v>Mar 6</x:v>
      </x:c>
      <x:c r="D340" t="n">
        <x:v>19</x:v>
      </x:c>
      <x:c r="E340" t="n">
        <x:v>7</x:v>
      </x:c>
      <x:c r="F340" s="14" t="n">
        <x:v>12</x:v>
      </x:c>
      <x:c r="G340" t="str">
        <x:v>2mo ago</x:v>
      </x:c>
      <x:c r="H340" t="str">
        <x:v>Competitive</x:v>
      </x:c>
      <x:c r="I340" t="str">
        <x:v>Domination</x:v>
      </x:c>
      <x:c r="J340" t="str">
        <x:v>Krakoa</x:v>
      </x:c>
      <x:c r="K340" t="str">
        <x:v>Peni Parker</x:v>
      </x:c>
      <x:c r="L340" t="str">
        <x:v>Win</x:v>
      </x:c>
      <x:c r="M340" t="str"/>
      <x:c r="N340" t="n">
        <x:v>2</x:v>
      </x:c>
      <x:c r="O340" t="n">
        <x:v>0</x:v>
      </x:c>
      <x:c r="P340" t="str">
        <x:v>Grandmaster III</x:v>
      </x:c>
      <x:c r="Q340" t="n">
        <x:v>4515</x:v>
      </x:c>
      <x:c r="R340" s="14" t="n">
        <x:v>24</x:v>
      </x:c>
      <x:c r="S340" t="n">
        <x:v>21</x:v>
      </x:c>
      <x:c r="T340" t="n">
        <x:v>3</x:v>
      </x:c>
      <x:c r="U340" t="n">
        <x:v>11</x:v>
      </x:c>
      <x:c r="V340" s="16" t="n">
        <x:v>10.67</x:v>
      </x:c>
      <x:c r="W340" t="str">
        <x:v>Parsed from Tracker.gg MHTML/PDF export; competitive rows only.</x:v>
      </x:c>
      <x:c r="X340" t="n">
        <x:f>IF(L340="Win",1,0)</x:f>
        <x:v>1</x:v>
      </x:c>
      <x:c r="Y340" s="14" t="n">
        <x:f>IF(L340="Loss",1,0)</x:f>
        <x:v>0</x:v>
      </x:c>
      <x:c r="Z340" t="n">
        <x:f>IF(L340="Draw/Unknown",1,0)</x:f>
        <x:v>0</x:v>
      </x:c>
      <x:c r="AA340" s="16" t="str">
        <x:f>IF(OR(N340="",O340=""),"",N340-O340)</x:f>
      </x:c>
      <x:c r="AB340" s="16" t="n">
        <x:f>IF(T340=0,S340+U340,(S340+U340)/T340)</x:f>
        <x:v>10.666666666666666</x:v>
      </x:c>
      <x:c r="AC340" t="n">
        <x:f>S340+U340</x:f>
        <x:v>32</x:v>
      </x:c>
      <x:c r="AD340" t="n">
        <x:f>IF(T340=0,1,0)</x:f>
        <x:v>0</x:v>
      </x:c>
      <x:c r="AE340" t="str">
        <x:f>IF(R340&gt;0,"Gain",IF(R340&lt;0,"Loss","Neutral"))</x:f>
        <x:v>Gain</x:v>
      </x:c>
    </x:row>
    <x:row r="341">
      <x:c r="A341" t="n">
        <x:v>340</x:v>
      </x:c>
      <x:c r="B341" s="12" t="n">
        <x:v>46087</x:v>
      </x:c>
      <x:c r="C341" t="str">
        <x:v>Mar 6</x:v>
      </x:c>
      <x:c r="D341" t="n">
        <x:v>19</x:v>
      </x:c>
      <x:c r="E341" t="n">
        <x:v>7</x:v>
      </x:c>
      <x:c r="F341" s="14" t="n">
        <x:v>12</x:v>
      </x:c>
      <x:c r="G341" t="str">
        <x:v>2mo ago</x:v>
      </x:c>
      <x:c r="H341" t="str">
        <x:v>Competitive</x:v>
      </x:c>
      <x:c r="I341" t="str">
        <x:v>Convoy</x:v>
      </x:c>
      <x:c r="J341" t="str">
        <x:v>Arakko</x:v>
      </x:c>
      <x:c r="K341" t="str">
        <x:v>Peni Parker</x:v>
      </x:c>
      <x:c r="L341" t="str">
        <x:v>Loss</x:v>
      </x:c>
      <x:c r="M341" t="str"/>
      <x:c r="N341" t="n">
        <x:v>1</x:v>
      </x:c>
      <x:c r="O341" t="n">
        <x:v>2</x:v>
      </x:c>
      <x:c r="P341" t="str">
        <x:v>Grandmaster III</x:v>
      </x:c>
      <x:c r="Q341" t="n">
        <x:v>4491</x:v>
      </x:c>
      <x:c r="R341" s="14" t="n">
        <x:v>-22</x:v>
      </x:c>
      <x:c r="S341" t="n">
        <x:v>25</x:v>
      </x:c>
      <x:c r="T341" t="n">
        <x:v>12</x:v>
      </x:c>
      <x:c r="U341" t="n">
        <x:v>19</x:v>
      </x:c>
      <x:c r="V341" s="16" t="n">
        <x:v>3.67</x:v>
      </x:c>
      <x:c r="W341" t="str">
        <x:v>Parsed from Tracker.gg MHTML/PDF export; competitive rows only.</x:v>
      </x:c>
      <x:c r="X341" t="n">
        <x:f>IF(L341="Win",1,0)</x:f>
        <x:v>0</x:v>
      </x:c>
      <x:c r="Y341" s="14" t="n">
        <x:f>IF(L341="Loss",1,0)</x:f>
        <x:v>1</x:v>
      </x:c>
      <x:c r="Z341" t="n">
        <x:f>IF(L341="Draw/Unknown",1,0)</x:f>
        <x:v>0</x:v>
      </x:c>
      <x:c r="AA341" s="16" t="n">
        <x:f>IF(OR(N341="",O341=""),"",N341-O341)</x:f>
        <x:v>-1</x:v>
      </x:c>
      <x:c r="AB341" s="16" t="n">
        <x:f>IF(T341=0,S341+U341,(S341+U341)/T341)</x:f>
        <x:v>3.6666666666666665</x:v>
      </x:c>
      <x:c r="AC341" t="n">
        <x:f>S341+U341</x:f>
        <x:v>44</x:v>
      </x:c>
      <x:c r="AD341" t="n">
        <x:f>IF(T341=0,1,0)</x:f>
        <x:v>0</x:v>
      </x:c>
      <x:c r="AE341" t="str">
        <x:f>IF(R341&gt;0,"Gain",IF(R341&lt;0,"Loss","Neutral"))</x:f>
        <x:v>Loss</x:v>
      </x:c>
    </x:row>
    <x:row r="342">
      <x:c r="A342" t="n">
        <x:v>341</x:v>
      </x:c>
      <x:c r="B342" s="12" t="n">
        <x:v>46087</x:v>
      </x:c>
      <x:c r="C342" t="str">
        <x:v>Mar 6</x:v>
      </x:c>
      <x:c r="D342" t="n">
        <x:v>19</x:v>
      </x:c>
      <x:c r="E342" t="n">
        <x:v>7</x:v>
      </x:c>
      <x:c r="F342" s="14" t="n">
        <x:v>12</x:v>
      </x:c>
      <x:c r="G342" t="str">
        <x:v>2mo ago</x:v>
      </x:c>
      <x:c r="H342" t="str">
        <x:v>Competitive</x:v>
      </x:c>
      <x:c r="I342" t="str">
        <x:v>Convoy</x:v>
      </x:c>
      <x:c r="J342" t="str">
        <x:v>Midtown</x:v>
      </x:c>
      <x:c r="K342" t="str">
        <x:v>Cloak &amp; Dagger</x:v>
      </x:c>
      <x:c r="L342" t="str">
        <x:v>Win</x:v>
      </x:c>
      <x:c r="M342" t="str"/>
      <x:c r="N342" t="n">
        <x:v>1</x:v>
      </x:c>
      <x:c r="O342" t="n">
        <x:v>2</x:v>
      </x:c>
      <x:c r="P342" t="str">
        <x:v>Grandmaster III</x:v>
      </x:c>
      <x:c r="Q342" t="n">
        <x:v>4513</x:v>
      </x:c>
      <x:c r="R342" s="14" t="n">
        <x:v>25</x:v>
      </x:c>
      <x:c r="S342" t="n">
        <x:v>21</x:v>
      </x:c>
      <x:c r="T342" t="n">
        <x:v>6</x:v>
      </x:c>
      <x:c r="U342" t="n">
        <x:v>39</x:v>
      </x:c>
      <x:c r="V342" s="16" t="n">
        <x:v>10</x:v>
      </x:c>
      <x:c r="W342" t="str">
        <x:v>Parsed from Tracker.gg MHTML/PDF export; competitive rows only.</x:v>
      </x:c>
      <x:c r="X342" t="n">
        <x:f>IF(L342="Win",1,0)</x:f>
        <x:v>1</x:v>
      </x:c>
      <x:c r="Y342" s="14" t="n">
        <x:f>IF(L342="Loss",1,0)</x:f>
        <x:v>0</x:v>
      </x:c>
      <x:c r="Z342" t="n">
        <x:f>IF(L342="Draw/Unknown",1,0)</x:f>
        <x:v>0</x:v>
      </x:c>
      <x:c r="AA342" s="16" t="n">
        <x:f>IF(OR(N342="",O342=""),"",N342-O342)</x:f>
        <x:v>-1</x:v>
      </x:c>
      <x:c r="AB342" s="16" t="n">
        <x:f>IF(T342=0,S342+U342,(S342+U342)/T342)</x:f>
        <x:v>10</x:v>
      </x:c>
      <x:c r="AC342" t="n">
        <x:f>S342+U342</x:f>
        <x:v>60</x:v>
      </x:c>
      <x:c r="AD342" t="n">
        <x:f>IF(T342=0,1,0)</x:f>
        <x:v>0</x:v>
      </x:c>
      <x:c r="AE342" t="str">
        <x:f>IF(R342&gt;0,"Gain",IF(R342&lt;0,"Loss","Neutral"))</x:f>
        <x:v>Gain</x:v>
      </x:c>
    </x:row>
    <x:row r="343">
      <x:c r="A343" t="n">
        <x:v>342</x:v>
      </x:c>
      <x:c r="B343" s="12" t="n">
        <x:v>46087</x:v>
      </x:c>
      <x:c r="C343" t="str">
        <x:v>Mar 6</x:v>
      </x:c>
      <x:c r="D343" t="n">
        <x:v>19</x:v>
      </x:c>
      <x:c r="E343" t="n">
        <x:v>7</x:v>
      </x:c>
      <x:c r="F343" s="14" t="n">
        <x:v>12</x:v>
      </x:c>
      <x:c r="G343" t="str">
        <x:v>2mo ago</x:v>
      </x:c>
      <x:c r="H343" t="str">
        <x:v>Competitive</x:v>
      </x:c>
      <x:c r="I343" t="str">
        <x:v>Convergence</x:v>
      </x:c>
      <x:c r="J343" t="str">
        <x:v>Symbiotic Surface</x:v>
      </x:c>
      <x:c r="K343" t="str">
        <x:v>Doctor Strange</x:v>
      </x:c>
      <x:c r="L343" t="str">
        <x:v>Loss</x:v>
      </x:c>
      <x:c r="M343" t="str"/>
      <x:c r="N343" t="n">
        <x:v>3</x:v>
      </x:c>
      <x:c r="O343" t="n">
        <x:v>2</x:v>
      </x:c>
      <x:c r="P343" t="str">
        <x:v>Grandmaster III</x:v>
      </x:c>
      <x:c r="Q343" t="n">
        <x:v>4487</x:v>
      </x:c>
      <x:c r="R343" s="14" t="n">
        <x:v>-23</x:v>
      </x:c>
      <x:c r="S343" t="n">
        <x:v>22</x:v>
      </x:c>
      <x:c r="T343" t="n">
        <x:v>14</x:v>
      </x:c>
      <x:c r="U343" t="n">
        <x:v>17</x:v>
      </x:c>
      <x:c r="V343" s="16" t="n">
        <x:v>2.79</x:v>
      </x:c>
      <x:c r="W343" t="str">
        <x:v>Parsed from Tracker.gg MHTML/PDF export; competitive rows only.</x:v>
      </x:c>
      <x:c r="X343" t="n">
        <x:f>IF(L343="Win",1,0)</x:f>
        <x:v>0</x:v>
      </x:c>
      <x:c r="Y343" s="14" t="n">
        <x:f>IF(L343="Loss",1,0)</x:f>
        <x:v>1</x:v>
      </x:c>
      <x:c r="Z343" t="n">
        <x:f>IF(L343="Draw/Unknown",1,0)</x:f>
        <x:v>0</x:v>
      </x:c>
      <x:c r="AA343" s="16" t="n">
        <x:f>IF(OR(N343="",O343=""),"",N343-O343)</x:f>
        <x:v>1</x:v>
      </x:c>
      <x:c r="AB343" s="16" t="n">
        <x:f>IF(T343=0,S343+U343,(S343+U343)/T343)</x:f>
        <x:v>2.7857142857142856</x:v>
      </x:c>
      <x:c r="AC343" t="n">
        <x:f>S343+U343</x:f>
        <x:v>39</x:v>
      </x:c>
      <x:c r="AD343" t="n">
        <x:f>IF(T343=0,1,0)</x:f>
        <x:v>0</x:v>
      </x:c>
      <x:c r="AE343" t="str">
        <x:f>IF(R343&gt;0,"Gain",IF(R343&lt;0,"Loss","Neutral"))</x:f>
        <x:v>Loss</x:v>
      </x:c>
    </x:row>
    <x:row r="344">
      <x:c r="A344" t="n">
        <x:v>343</x:v>
      </x:c>
      <x:c r="B344" s="12" t="n">
        <x:v>46087</x:v>
      </x:c>
      <x:c r="C344" t="str">
        <x:v>Mar 6</x:v>
      </x:c>
      <x:c r="D344" t="n">
        <x:v>19</x:v>
      </x:c>
      <x:c r="E344" t="n">
        <x:v>7</x:v>
      </x:c>
      <x:c r="F344" s="14" t="n">
        <x:v>12</x:v>
      </x:c>
      <x:c r="G344" t="str">
        <x:v>2mo ago</x:v>
      </x:c>
      <x:c r="H344" t="str">
        <x:v>Competitive</x:v>
      </x:c>
      <x:c r="I344" t="str">
        <x:v>Domination</x:v>
      </x:c>
      <x:c r="J344" t="str">
        <x:v>Birnin T'Challa</x:v>
      </x:c>
      <x:c r="K344" t="str">
        <x:v>Namor</x:v>
      </x:c>
      <x:c r="L344" t="str">
        <x:v>Win</x:v>
      </x:c>
      <x:c r="M344" t="str">
        <x:v>MVP</x:v>
      </x:c>
      <x:c r="N344" t="n">
        <x:v>2</x:v>
      </x:c>
      <x:c r="O344" t="n">
        <x:v>1</x:v>
      </x:c>
      <x:c r="P344" t="str">
        <x:v>Grandmaster III</x:v>
      </x:c>
      <x:c r="Q344" t="n">
        <x:v>4510</x:v>
      </x:c>
      <x:c r="R344" s="14" t="n">
        <x:v>26</x:v>
      </x:c>
      <x:c r="S344" t="n">
        <x:v>23</x:v>
      </x:c>
      <x:c r="T344" t="n">
        <x:v>8</x:v>
      </x:c>
      <x:c r="U344" t="n">
        <x:v>2</x:v>
      </x:c>
      <x:c r="V344" s="16" t="n">
        <x:v>3.12</x:v>
      </x:c>
      <x:c r="W344" t="str">
        <x:v>Parsed from Tracker.gg MHTML/PDF export; competitive rows only.</x:v>
      </x:c>
      <x:c r="X344" t="n">
        <x:f>IF(L344="Win",1,0)</x:f>
        <x:v>1</x:v>
      </x:c>
      <x:c r="Y344" s="14" t="n">
        <x:f>IF(L344="Loss",1,0)</x:f>
        <x:v>0</x:v>
      </x:c>
      <x:c r="Z344" t="n">
        <x:f>IF(L344="Draw/Unknown",1,0)</x:f>
        <x:v>0</x:v>
      </x:c>
      <x:c r="AA344" s="16" t="n">
        <x:f>IF(OR(N344="",O344=""),"",N344-O344)</x:f>
        <x:v>1</x:v>
      </x:c>
      <x:c r="AB344" s="16" t="n">
        <x:f>IF(T344=0,S344+U344,(S344+U344)/T344)</x:f>
        <x:v>3.125</x:v>
      </x:c>
      <x:c r="AC344" t="n">
        <x:f>S344+U344</x:f>
        <x:v>25</x:v>
      </x:c>
      <x:c r="AD344" t="n">
        <x:f>IF(T344=0,1,0)</x:f>
        <x:v>0</x:v>
      </x:c>
      <x:c r="AE344" t="str">
        <x:f>IF(R344&gt;0,"Gain",IF(R344&lt;0,"Loss","Neutral"))</x:f>
        <x:v>Gain</x:v>
      </x:c>
    </x:row>
    <x:row r="345">
      <x:c r="A345" t="n">
        <x:v>344</x:v>
      </x:c>
      <x:c r="B345" s="12" t="n">
        <x:v>46087</x:v>
      </x:c>
      <x:c r="C345" t="str">
        <x:v>Mar 6</x:v>
      </x:c>
      <x:c r="D345" t="n">
        <x:v>19</x:v>
      </x:c>
      <x:c r="E345" t="n">
        <x:v>7</x:v>
      </x:c>
      <x:c r="F345" s="14" t="n">
        <x:v>12</x:v>
      </x:c>
      <x:c r="G345" t="str">
        <x:v>2mo ago</x:v>
      </x:c>
      <x:c r="H345" t="str">
        <x:v>Competitive</x:v>
      </x:c>
      <x:c r="I345" t="str">
        <x:v>Convergence</x:v>
      </x:c>
      <x:c r="J345" t="str">
        <x:v>Heart Of Heaven</x:v>
      </x:c>
      <x:c r="K345" t="str">
        <x:v>The Thing</x:v>
      </x:c>
      <x:c r="L345" t="str">
        <x:v>Loss</x:v>
      </x:c>
      <x:c r="M345" t="str"/>
      <x:c r="N345" t="n">
        <x:v>0</x:v>
      </x:c>
      <x:c r="O345" t="n">
        <x:v>1</x:v>
      </x:c>
      <x:c r="P345" t="str">
        <x:v>Grandmaster III</x:v>
      </x:c>
      <x:c r="Q345" t="n">
        <x:v>4483</x:v>
      </x:c>
      <x:c r="R345" s="14" t="n">
        <x:v>-22</x:v>
      </x:c>
      <x:c r="S345" t="n">
        <x:v>5</x:v>
      </x:c>
      <x:c r="T345" t="n">
        <x:v>7</x:v>
      </x:c>
      <x:c r="U345" t="n">
        <x:v>5</x:v>
      </x:c>
      <x:c r="V345" s="16" t="n">
        <x:v>1.43</x:v>
      </x:c>
      <x:c r="W345" t="str">
        <x:v>Parsed from Tracker.gg MHTML/PDF export; competitive rows only.</x:v>
      </x:c>
      <x:c r="X345" t="n">
        <x:f>IF(L345="Win",1,0)</x:f>
        <x:v>0</x:v>
      </x:c>
      <x:c r="Y345" s="14" t="n">
        <x:f>IF(L345="Loss",1,0)</x:f>
        <x:v>1</x:v>
      </x:c>
      <x:c r="Z345" t="n">
        <x:f>IF(L345="Draw/Unknown",1,0)</x:f>
        <x:v>0</x:v>
      </x:c>
      <x:c r="AA345" s="16" t="str">
        <x:f>IF(OR(N345="",O345=""),"",N345-O345)</x:f>
      </x:c>
      <x:c r="AB345" s="16" t="n">
        <x:f>IF(T345=0,S345+U345,(S345+U345)/T345)</x:f>
        <x:v>1.4285714285714286</x:v>
      </x:c>
      <x:c r="AC345" t="n">
        <x:f>S345+U345</x:f>
        <x:v>10</x:v>
      </x:c>
      <x:c r="AD345" t="n">
        <x:f>IF(T345=0,1,0)</x:f>
        <x:v>0</x:v>
      </x:c>
      <x:c r="AE345" t="str">
        <x:f>IF(R345&gt;0,"Gain",IF(R345&lt;0,"Loss","Neutral"))</x:f>
        <x:v>Loss</x:v>
      </x:c>
    </x:row>
    <x:row r="346">
      <x:c r="A346" t="n">
        <x:v>345</x:v>
      </x:c>
      <x:c r="B346" s="12" t="n">
        <x:v>46087</x:v>
      </x:c>
      <x:c r="C346" t="str">
        <x:v>Mar 6</x:v>
      </x:c>
      <x:c r="D346" t="n">
        <x:v>19</x:v>
      </x:c>
      <x:c r="E346" t="n">
        <x:v>7</x:v>
      </x:c>
      <x:c r="F346" s="14" t="n">
        <x:v>12</x:v>
      </x:c>
      <x:c r="G346" t="str">
        <x:v>2mo ago</x:v>
      </x:c>
      <x:c r="H346" t="str">
        <x:v>Competitive</x:v>
      </x:c>
      <x:c r="I346" t="str">
        <x:v>Convoy</x:v>
      </x:c>
      <x:c r="J346" t="str">
        <x:v>Museum of Contemplation</x:v>
      </x:c>
      <x:c r="K346" t="str">
        <x:v>The Thing</x:v>
      </x:c>
      <x:c r="L346" t="str">
        <x:v>Loss</x:v>
      </x:c>
      <x:c r="M346" t="str"/>
      <x:c r="N346" t="n">
        <x:v>0</x:v>
      </x:c>
      <x:c r="O346" t="n">
        <x:v>1</x:v>
      </x:c>
      <x:c r="P346" t="str">
        <x:v>Grandmaster III</x:v>
      </x:c>
      <x:c r="Q346" t="n">
        <x:v>4505</x:v>
      </x:c>
      <x:c r="R346" s="14" t="n">
        <x:v>-21</x:v>
      </x:c>
      <x:c r="S346" t="n">
        <x:v>7</x:v>
      </x:c>
      <x:c r="T346" t="n">
        <x:v>7</x:v>
      </x:c>
      <x:c r="U346" t="n">
        <x:v>0</x:v>
      </x:c>
      <x:c r="V346" s="16" t="n">
        <x:v>1</x:v>
      </x:c>
      <x:c r="W346" t="str">
        <x:v>Parsed from Tracker.gg MHTML/PDF export; competitive rows only.</x:v>
      </x:c>
      <x:c r="X346" t="n">
        <x:f>IF(L346="Win",1,0)</x:f>
        <x:v>0</x:v>
      </x:c>
      <x:c r="Y346" s="14" t="n">
        <x:f>IF(L346="Loss",1,0)</x:f>
        <x:v>1</x:v>
      </x:c>
      <x:c r="Z346" t="n">
        <x:f>IF(L346="Draw/Unknown",1,0)</x:f>
        <x:v>0</x:v>
      </x:c>
      <x:c r="AA346" s="16" t="str">
        <x:f>IF(OR(N346="",O346=""),"",N346-O346)</x:f>
      </x:c>
      <x:c r="AB346" s="16" t="n">
        <x:f>IF(T346=0,S346+U346,(S346+U346)/T346)</x:f>
        <x:v>1</x:v>
      </x:c>
      <x:c r="AC346" t="n">
        <x:f>S346+U346</x:f>
        <x:v>7</x:v>
      </x:c>
      <x:c r="AD346" t="n">
        <x:f>IF(T346=0,1,0)</x:f>
        <x:v>0</x:v>
      </x:c>
      <x:c r="AE346" t="str">
        <x:f>IF(R346&gt;0,"Gain",IF(R346&lt;0,"Loss","Neutral"))</x:f>
        <x:v>Loss</x:v>
      </x:c>
    </x:row>
    <x:row r="347">
      <x:c r="A347" t="n">
        <x:v>346</x:v>
      </x:c>
      <x:c r="B347" s="12" t="n">
        <x:v>46087</x:v>
      </x:c>
      <x:c r="C347" t="str">
        <x:v>Mar 6</x:v>
      </x:c>
      <x:c r="D347" t="n">
        <x:v>19</x:v>
      </x:c>
      <x:c r="E347" t="n">
        <x:v>7</x:v>
      </x:c>
      <x:c r="F347" s="14" t="n">
        <x:v>12</x:v>
      </x:c>
      <x:c r="G347" t="str">
        <x:v>2mo ago</x:v>
      </x:c>
      <x:c r="H347" t="str">
        <x:v>Competitive</x:v>
      </x:c>
      <x:c r="I347" t="str">
        <x:v>Domination</x:v>
      </x:c>
      <x:c r="J347" t="str">
        <x:v>Krakoa</x:v>
      </x:c>
      <x:c r="K347" t="str">
        <x:v>Peni Parker</x:v>
      </x:c>
      <x:c r="L347" t="str">
        <x:v>Win</x:v>
      </x:c>
      <x:c r="M347" t="str">
        <x:v>MVP</x:v>
      </x:c>
      <x:c r="N347" t="n">
        <x:v>0</x:v>
      </x:c>
      <x:c r="O347" t="n">
        <x:v>2</x:v>
      </x:c>
      <x:c r="P347" t="str">
        <x:v>Grandmaster III</x:v>
      </x:c>
      <x:c r="Q347" t="n">
        <x:v>4525</x:v>
      </x:c>
      <x:c r="R347" s="14" t="n">
        <x:v>24</x:v>
      </x:c>
      <x:c r="S347" t="n">
        <x:v>20</x:v>
      </x:c>
      <x:c r="T347" t="n">
        <x:v>3</x:v>
      </x:c>
      <x:c r="U347" t="n">
        <x:v>17</x:v>
      </x:c>
      <x:c r="V347" s="16" t="n">
        <x:v>12.33</x:v>
      </x:c>
      <x:c r="W347" t="str">
        <x:v>Parsed from Tracker.gg MHTML/PDF export; competitive rows only.</x:v>
      </x:c>
      <x:c r="X347" t="n">
        <x:f>IF(L347="Win",1,0)</x:f>
        <x:v>1</x:v>
      </x:c>
      <x:c r="Y347" s="14" t="n">
        <x:f>IF(L347="Loss",1,0)</x:f>
        <x:v>0</x:v>
      </x:c>
      <x:c r="Z347" t="n">
        <x:f>IF(L347="Draw/Unknown",1,0)</x:f>
        <x:v>0</x:v>
      </x:c>
      <x:c r="AA347" s="16" t="str">
        <x:f>IF(OR(N347="",O347=""),"",N347-O347)</x:f>
      </x:c>
      <x:c r="AB347" s="16" t="n">
        <x:f>IF(T347=0,S347+U347,(S347+U347)/T347)</x:f>
        <x:v>12.333333333333334</x:v>
      </x:c>
      <x:c r="AC347" t="n">
        <x:f>S347+U347</x:f>
        <x:v>37</x:v>
      </x:c>
      <x:c r="AD347" t="n">
        <x:f>IF(T347=0,1,0)</x:f>
        <x:v>0</x:v>
      </x:c>
      <x:c r="AE347" t="str">
        <x:f>IF(R347&gt;0,"Gain",IF(R347&lt;0,"Loss","Neutral"))</x:f>
        <x:v>Gain</x:v>
      </x:c>
    </x:row>
    <x:row r="348">
      <x:c r="A348" t="n">
        <x:v>347</x:v>
      </x:c>
      <x:c r="B348" s="12" t="n">
        <x:v>46087</x:v>
      </x:c>
      <x:c r="C348" t="str">
        <x:v>Mar 6</x:v>
      </x:c>
      <x:c r="D348" t="n">
        <x:v>19</x:v>
      </x:c>
      <x:c r="E348" t="n">
        <x:v>7</x:v>
      </x:c>
      <x:c r="F348" s="14" t="n">
        <x:v>12</x:v>
      </x:c>
      <x:c r="G348" t="str">
        <x:v>2mo ago</x:v>
      </x:c>
      <x:c r="H348" t="str">
        <x:v>Competitive</x:v>
      </x:c>
      <x:c r="I348" t="str">
        <x:v>Convergence</x:v>
      </x:c>
      <x:c r="J348" t="str">
        <x:v>Hall Of Djalia</x:v>
      </x:c>
      <x:c r="K348" t="str">
        <x:v>Invisible Woman</x:v>
      </x:c>
      <x:c r="L348" t="str">
        <x:v>Loss</x:v>
      </x:c>
      <x:c r="M348" t="str"/>
      <x:c r="N348" t="n">
        <x:v>2</x:v>
      </x:c>
      <x:c r="O348" t="n">
        <x:v>3</x:v>
      </x:c>
      <x:c r="P348" t="str">
        <x:v>Grandmaster III</x:v>
      </x:c>
      <x:c r="Q348" t="n">
        <x:v>4501</x:v>
      </x:c>
      <x:c r="R348" s="14" t="n">
        <x:v>-20</x:v>
      </x:c>
      <x:c r="S348" t="n">
        <x:v>23</x:v>
      </x:c>
      <x:c r="T348" t="n">
        <x:v>12</x:v>
      </x:c>
      <x:c r="U348" t="n">
        <x:v>21</x:v>
      </x:c>
      <x:c r="V348" s="16" t="n">
        <x:v>3.67</x:v>
      </x:c>
      <x:c r="W348" t="str">
        <x:v>Parsed from Tracker.gg MHTML/PDF export; competitive rows only.</x:v>
      </x:c>
      <x:c r="X348" t="n">
        <x:f>IF(L348="Win",1,0)</x:f>
        <x:v>0</x:v>
      </x:c>
      <x:c r="Y348" s="14" t="n">
        <x:f>IF(L348="Loss",1,0)</x:f>
        <x:v>1</x:v>
      </x:c>
      <x:c r="Z348" t="n">
        <x:f>IF(L348="Draw/Unknown",1,0)</x:f>
        <x:v>0</x:v>
      </x:c>
      <x:c r="AA348" s="16" t="n">
        <x:f>IF(OR(N348="",O348=""),"",N348-O348)</x:f>
        <x:v>-1</x:v>
      </x:c>
      <x:c r="AB348" s="16" t="n">
        <x:f>IF(T348=0,S348+U348,(S348+U348)/T348)</x:f>
        <x:v>3.6666666666666665</x:v>
      </x:c>
      <x:c r="AC348" t="n">
        <x:f>S348+U348</x:f>
        <x:v>44</x:v>
      </x:c>
      <x:c r="AD348" t="n">
        <x:f>IF(T348=0,1,0)</x:f>
        <x:v>0</x:v>
      </x:c>
      <x:c r="AE348" t="str">
        <x:f>IF(R348&gt;0,"Gain",IF(R348&lt;0,"Loss","Neutral"))</x:f>
        <x:v>Loss</x:v>
      </x:c>
    </x:row>
    <x:row r="349">
      <x:c r="A349" t="n">
        <x:v>348</x:v>
      </x:c>
      <x:c r="B349" s="12" t="n">
        <x:v>46087</x:v>
      </x:c>
      <x:c r="C349" t="str">
        <x:v>Mar 6</x:v>
      </x:c>
      <x:c r="D349" t="n">
        <x:v>19</x:v>
      </x:c>
      <x:c r="E349" t="n">
        <x:v>7</x:v>
      </x:c>
      <x:c r="F349" s="14" t="n">
        <x:v>12</x:v>
      </x:c>
      <x:c r="G349" t="str">
        <x:v>2mo ago</x:v>
      </x:c>
      <x:c r="H349" t="str">
        <x:v>Competitive</x:v>
      </x:c>
      <x:c r="I349" t="str">
        <x:v>Convergence</x:v>
      </x:c>
      <x:c r="J349" t="str">
        <x:v>Central Park</x:v>
      </x:c>
      <x:c r="K349" t="str">
        <x:v>Namor</x:v>
      </x:c>
      <x:c r="L349" t="str">
        <x:v>Loss</x:v>
      </x:c>
      <x:c r="M349" t="str"/>
      <x:c r="N349" t="n">
        <x:v>3</x:v>
      </x:c>
      <x:c r="O349" t="n">
        <x:v>1</x:v>
      </x:c>
      <x:c r="P349" t="str">
        <x:v>Grandmaster III</x:v>
      </x:c>
      <x:c r="Q349" t="n">
        <x:v>4521</x:v>
      </x:c>
      <x:c r="R349" s="14" t="n">
        <x:v>-20</x:v>
      </x:c>
      <x:c r="S349" t="n">
        <x:v>28</x:v>
      </x:c>
      <x:c r="T349" t="n">
        <x:v>14</x:v>
      </x:c>
      <x:c r="U349" t="n">
        <x:v>8</x:v>
      </x:c>
      <x:c r="V349" s="16" t="n">
        <x:v>2.57</x:v>
      </x:c>
      <x:c r="W349" t="str">
        <x:v>Parsed from Tracker.gg MHTML/PDF export; competitive rows only.</x:v>
      </x:c>
      <x:c r="X349" t="n">
        <x:f>IF(L349="Win",1,0)</x:f>
        <x:v>0</x:v>
      </x:c>
      <x:c r="Y349" s="14" t="n">
        <x:f>IF(L349="Loss",1,0)</x:f>
        <x:v>1</x:v>
      </x:c>
      <x:c r="Z349" t="n">
        <x:f>IF(L349="Draw/Unknown",1,0)</x:f>
        <x:v>0</x:v>
      </x:c>
      <x:c r="AA349" s="16" t="n">
        <x:f>IF(OR(N349="",O349=""),"",N349-O349)</x:f>
        <x:v>2</x:v>
      </x:c>
      <x:c r="AB349" s="16" t="n">
        <x:f>IF(T349=0,S349+U349,(S349+U349)/T349)</x:f>
        <x:v>2.5714285714285716</x:v>
      </x:c>
      <x:c r="AC349" t="n">
        <x:f>S349+U349</x:f>
        <x:v>36</x:v>
      </x:c>
      <x:c r="AD349" t="n">
        <x:f>IF(T349=0,1,0)</x:f>
        <x:v>0</x:v>
      </x:c>
      <x:c r="AE349" t="str">
        <x:f>IF(R349&gt;0,"Gain",IF(R349&lt;0,"Loss","Neutral"))</x:f>
        <x:v>Loss</x:v>
      </x:c>
    </x:row>
    <x:row r="350">
      <x:c r="A350" t="n">
        <x:v>349</x:v>
      </x:c>
      <x:c r="B350" s="12" t="n">
        <x:v>46087</x:v>
      </x:c>
      <x:c r="C350" t="str">
        <x:v>Mar 6</x:v>
      </x:c>
      <x:c r="D350" t="n">
        <x:v>19</x:v>
      </x:c>
      <x:c r="E350" t="n">
        <x:v>7</x:v>
      </x:c>
      <x:c r="F350" s="14" t="n">
        <x:v>12</x:v>
      </x:c>
      <x:c r="G350" t="str">
        <x:v>2mo ago</x:v>
      </x:c>
      <x:c r="H350" t="str">
        <x:v>Competitive</x:v>
      </x:c>
      <x:c r="I350" t="str">
        <x:v>Domination</x:v>
      </x:c>
      <x:c r="J350" t="str">
        <x:v>Krakoa</x:v>
      </x:c>
      <x:c r="K350" t="str">
        <x:v>Iron Man</x:v>
      </x:c>
      <x:c r="L350" t="str">
        <x:v>Loss</x:v>
      </x:c>
      <x:c r="M350" t="str"/>
      <x:c r="N350" t="n">
        <x:v>0</x:v>
      </x:c>
      <x:c r="O350" t="n">
        <x:v>2</x:v>
      </x:c>
      <x:c r="P350" t="str">
        <x:v>Grandmaster III</x:v>
      </x:c>
      <x:c r="Q350" t="n">
        <x:v>4541</x:v>
      </x:c>
      <x:c r="R350" s="14" t="n">
        <x:v>-24</x:v>
      </x:c>
      <x:c r="S350" t="n">
        <x:v>5</x:v>
      </x:c>
      <x:c r="T350" t="n">
        <x:v>5</x:v>
      </x:c>
      <x:c r="U350" t="n">
        <x:v>1</x:v>
      </x:c>
      <x:c r="V350" s="16" t="n">
        <x:v>1.2</x:v>
      </x:c>
      <x:c r="W350" t="str">
        <x:v>Parsed from Tracker.gg MHTML/PDF export; competitive rows only.</x:v>
      </x:c>
      <x:c r="X350" t="n">
        <x:f>IF(L350="Win",1,0)</x:f>
        <x:v>0</x:v>
      </x:c>
      <x:c r="Y350" s="14" t="n">
        <x:f>IF(L350="Loss",1,0)</x:f>
        <x:v>1</x:v>
      </x:c>
      <x:c r="Z350" t="n">
        <x:f>IF(L350="Draw/Unknown",1,0)</x:f>
        <x:v>0</x:v>
      </x:c>
      <x:c r="AA350" s="16" t="str">
        <x:f>IF(OR(N350="",O350=""),"",N350-O350)</x:f>
      </x:c>
      <x:c r="AB350" s="16" t="n">
        <x:f>IF(T350=0,S350+U350,(S350+U350)/T350)</x:f>
        <x:v>1.2</x:v>
      </x:c>
      <x:c r="AC350" t="n">
        <x:f>S350+U350</x:f>
        <x:v>6</x:v>
      </x:c>
      <x:c r="AD350" t="n">
        <x:f>IF(T350=0,1,0)</x:f>
        <x:v>0</x:v>
      </x:c>
      <x:c r="AE350" t="str">
        <x:f>IF(R350&gt;0,"Gain",IF(R350&lt;0,"Loss","Neutral"))</x:f>
        <x:v>Loss</x:v>
      </x:c>
    </x:row>
    <x:row r="351">
      <x:c r="A351" t="n">
        <x:v>350</x:v>
      </x:c>
      <x:c r="B351" s="12" t="n">
        <x:v>46087</x:v>
      </x:c>
      <x:c r="C351" t="str">
        <x:v>Mar 6</x:v>
      </x:c>
      <x:c r="D351" t="n">
        <x:v>19</x:v>
      </x:c>
      <x:c r="E351" t="n">
        <x:v>7</x:v>
      </x:c>
      <x:c r="F351" s="14" t="n">
        <x:v>12</x:v>
      </x:c>
      <x:c r="G351" t="str">
        <x:v>2mo ago</x:v>
      </x:c>
      <x:c r="H351" t="str">
        <x:v>Competitive</x:v>
      </x:c>
      <x:c r="I351" t="str">
        <x:v>Convoy</x:v>
      </x:c>
      <x:c r="J351" t="str">
        <x:v>Yggdrasill Path</x:v>
      </x:c>
      <x:c r="K351" t="str">
        <x:v>The Thing</x:v>
      </x:c>
      <x:c r="L351" t="str">
        <x:v>Win</x:v>
      </x:c>
      <x:c r="M351" t="str"/>
      <x:c r="N351" t="n">
        <x:v>1</x:v>
      </x:c>
      <x:c r="O351" t="n">
        <x:v>0</x:v>
      </x:c>
      <x:c r="P351" t="str">
        <x:v>Grandmaster III</x:v>
      </x:c>
      <x:c r="Q351" t="n">
        <x:v>4564</x:v>
      </x:c>
      <x:c r="R351" s="14" t="n">
        <x:v>18</x:v>
      </x:c>
      <x:c r="S351" t="n">
        <x:v>8</x:v>
      </x:c>
      <x:c r="T351" t="n">
        <x:v>6</x:v>
      </x:c>
      <x:c r="U351" t="n">
        <x:v>2</x:v>
      </x:c>
      <x:c r="V351" s="16" t="n">
        <x:v>1.67</x:v>
      </x:c>
      <x:c r="W351" t="str">
        <x:v>Parsed from Tracker.gg MHTML/PDF export; competitive rows only.</x:v>
      </x:c>
      <x:c r="X351" t="n">
        <x:f>IF(L351="Win",1,0)</x:f>
        <x:v>1</x:v>
      </x:c>
      <x:c r="Y351" s="14" t="n">
        <x:f>IF(L351="Loss",1,0)</x:f>
        <x:v>0</x:v>
      </x:c>
      <x:c r="Z351" t="n">
        <x:f>IF(L351="Draw/Unknown",1,0)</x:f>
        <x:v>0</x:v>
      </x:c>
      <x:c r="AA351" s="16" t="str">
        <x:f>IF(OR(N351="",O351=""),"",N351-O351)</x:f>
      </x:c>
      <x:c r="AB351" s="16" t="n">
        <x:f>IF(T351=0,S351+U351,(S351+U351)/T351)</x:f>
        <x:v>1.6666666666666667</x:v>
      </x:c>
      <x:c r="AC351" t="n">
        <x:f>S351+U351</x:f>
        <x:v>10</x:v>
      </x:c>
      <x:c r="AD351" t="n">
        <x:f>IF(T351=0,1,0)</x:f>
        <x:v>0</x:v>
      </x:c>
      <x:c r="AE351" t="str">
        <x:f>IF(R351&gt;0,"Gain",IF(R351&lt;0,"Loss","Neutral"))</x:f>
        <x:v>Gain</x:v>
      </x:c>
    </x:row>
    <x:row r="352">
      <x:c r="A352" t="n">
        <x:v>351</x:v>
      </x:c>
      <x:c r="B352" s="12" t="n">
        <x:v>46086</x:v>
      </x:c>
      <x:c r="C352" t="str">
        <x:v>Mar 5</x:v>
      </x:c>
      <x:c r="D352" t="n">
        <x:v>9</x:v>
      </x:c>
      <x:c r="E352" t="n">
        <x:v>4</x:v>
      </x:c>
      <x:c r="F352" s="14" t="n">
        <x:v>5</x:v>
      </x:c>
      <x:c r="G352" t="str">
        <x:v>3mo ago</x:v>
      </x:c>
      <x:c r="H352" t="str">
        <x:v>Competitive</x:v>
      </x:c>
      <x:c r="I352" t="str">
        <x:v>Convergence</x:v>
      </x:c>
      <x:c r="J352" t="str">
        <x:v>Symbiotic Surface</x:v>
      </x:c>
      <x:c r="K352" t="str">
        <x:v>Cloak &amp; Dagger</x:v>
      </x:c>
      <x:c r="L352" t="str">
        <x:v>Loss</x:v>
      </x:c>
      <x:c r="M352" t="str"/>
      <x:c r="N352" t="n">
        <x:v>0</x:v>
      </x:c>
      <x:c r="O352" t="n">
        <x:v>1</x:v>
      </x:c>
      <x:c r="P352" t="str">
        <x:v>Grandmaster III</x:v>
      </x:c>
      <x:c r="Q352" t="n">
        <x:v>4546</x:v>
      </x:c>
      <x:c r="R352" s="14" t="n">
        <x:v>-21</x:v>
      </x:c>
      <x:c r="S352" t="n">
        <x:v>9</x:v>
      </x:c>
      <x:c r="T352" t="n">
        <x:v>4</x:v>
      </x:c>
      <x:c r="U352" t="n">
        <x:v>9</x:v>
      </x:c>
      <x:c r="V352" s="16" t="n">
        <x:v>4.5</x:v>
      </x:c>
      <x:c r="W352" t="str">
        <x:v>Parsed from Tracker.gg MHTML/PDF export; competitive rows only.</x:v>
      </x:c>
      <x:c r="X352" t="n">
        <x:f>IF(L352="Win",1,0)</x:f>
        <x:v>0</x:v>
      </x:c>
      <x:c r="Y352" s="14" t="n">
        <x:f>IF(L352="Loss",1,0)</x:f>
        <x:v>1</x:v>
      </x:c>
      <x:c r="Z352" t="n">
        <x:f>IF(L352="Draw/Unknown",1,0)</x:f>
        <x:v>0</x:v>
      </x:c>
      <x:c r="AA352" s="16" t="str">
        <x:f>IF(OR(N352="",O352=""),"",N352-O352)</x:f>
      </x:c>
      <x:c r="AB352" s="16" t="n">
        <x:f>IF(T352=0,S352+U352,(S352+U352)/T352)</x:f>
        <x:v>4.5</x:v>
      </x:c>
      <x:c r="AC352" t="n">
        <x:f>S352+U352</x:f>
        <x:v>18</x:v>
      </x:c>
      <x:c r="AD352" t="n">
        <x:f>IF(T352=0,1,0)</x:f>
        <x:v>0</x:v>
      </x:c>
      <x:c r="AE352" t="str">
        <x:f>IF(R352&gt;0,"Gain",IF(R352&lt;0,"Loss","Neutral"))</x:f>
        <x:v>Loss</x:v>
      </x:c>
    </x:row>
    <x:row r="353">
      <x:c r="A353" t="n">
        <x:v>352</x:v>
      </x:c>
      <x:c r="B353" s="12" t="n">
        <x:v>46086</x:v>
      </x:c>
      <x:c r="C353" t="str">
        <x:v>Mar 5</x:v>
      </x:c>
      <x:c r="D353" t="n">
        <x:v>9</x:v>
      </x:c>
      <x:c r="E353" t="n">
        <x:v>4</x:v>
      </x:c>
      <x:c r="F353" s="14" t="n">
        <x:v>5</x:v>
      </x:c>
      <x:c r="G353" t="str">
        <x:v>3mo ago</x:v>
      </x:c>
      <x:c r="H353" t="str">
        <x:v>Competitive</x:v>
      </x:c>
      <x:c r="I353" t="str">
        <x:v>Domination</x:v>
      </x:c>
      <x:c r="J353" t="str">
        <x:v>Birnin T'Challa</x:v>
      </x:c>
      <x:c r="K353" t="str">
        <x:v>Cloak &amp; Dagger</x:v>
      </x:c>
      <x:c r="L353" t="str">
        <x:v>Win</x:v>
      </x:c>
      <x:c r="M353" t="str"/>
      <x:c r="N353" t="n">
        <x:v>1</x:v>
      </x:c>
      <x:c r="O353" t="n">
        <x:v>2</x:v>
      </x:c>
      <x:c r="P353" t="str">
        <x:v>Grandmaster III</x:v>
      </x:c>
      <x:c r="Q353" t="n">
        <x:v>4566</x:v>
      </x:c>
      <x:c r="R353" s="14" t="n">
        <x:v>21</x:v>
      </x:c>
      <x:c r="S353" t="n">
        <x:v>17</x:v>
      </x:c>
      <x:c r="T353" t="n">
        <x:v>7</x:v>
      </x:c>
      <x:c r="U353" t="n">
        <x:v>38</x:v>
      </x:c>
      <x:c r="V353" s="16" t="n">
        <x:v>7.86</x:v>
      </x:c>
      <x:c r="W353" t="str">
        <x:v>Parsed from Tracker.gg MHTML/PDF export; competitive rows only.</x:v>
      </x:c>
      <x:c r="X353" t="n">
        <x:f>IF(L353="Win",1,0)</x:f>
        <x:v>1</x:v>
      </x:c>
      <x:c r="Y353" s="14" t="n">
        <x:f>IF(L353="Loss",1,0)</x:f>
        <x:v>0</x:v>
      </x:c>
      <x:c r="Z353" t="n">
        <x:f>IF(L353="Draw/Unknown",1,0)</x:f>
        <x:v>0</x:v>
      </x:c>
      <x:c r="AA353" s="16" t="n">
        <x:f>IF(OR(N353="",O353=""),"",N353-O353)</x:f>
        <x:v>-1</x:v>
      </x:c>
      <x:c r="AB353" s="16" t="n">
        <x:f>IF(T353=0,S353+U353,(S353+U353)/T353)</x:f>
        <x:v>7.857142857142857</x:v>
      </x:c>
      <x:c r="AC353" t="n">
        <x:f>S353+U353</x:f>
        <x:v>55</x:v>
      </x:c>
      <x:c r="AD353" t="n">
        <x:f>IF(T353=0,1,0)</x:f>
        <x:v>0</x:v>
      </x:c>
      <x:c r="AE353" t="str">
        <x:f>IF(R353&gt;0,"Gain",IF(R353&lt;0,"Loss","Neutral"))</x:f>
        <x:v>Gain</x:v>
      </x:c>
    </x:row>
    <x:row r="354">
      <x:c r="A354" t="n">
        <x:v>353</x:v>
      </x:c>
      <x:c r="B354" s="12" t="n">
        <x:v>46086</x:v>
      </x:c>
      <x:c r="C354" t="str">
        <x:v>Mar 5</x:v>
      </x:c>
      <x:c r="D354" t="n">
        <x:v>9</x:v>
      </x:c>
      <x:c r="E354" t="n">
        <x:v>4</x:v>
      </x:c>
      <x:c r="F354" s="14" t="n">
        <x:v>5</x:v>
      </x:c>
      <x:c r="G354" t="str">
        <x:v>3mo ago</x:v>
      </x:c>
      <x:c r="H354" t="str">
        <x:v>Competitive</x:v>
      </x:c>
      <x:c r="I354" t="str">
        <x:v>Convergence</x:v>
      </x:c>
      <x:c r="J354" t="str">
        <x:v>Hall Of Djalia</x:v>
      </x:c>
      <x:c r="K354" t="str">
        <x:v>Peni Parker</x:v>
      </x:c>
      <x:c r="L354" t="str">
        <x:v>Win</x:v>
      </x:c>
      <x:c r="M354" t="str">
        <x:v>MVP</x:v>
      </x:c>
      <x:c r="N354" t="n">
        <x:v>0</x:v>
      </x:c>
      <x:c r="O354" t="n">
        <x:v>1</x:v>
      </x:c>
      <x:c r="P354" t="str">
        <x:v>Grandmaster III</x:v>
      </x:c>
      <x:c r="Q354" t="n">
        <x:v>4545</x:v>
      </x:c>
      <x:c r="R354" s="14" t="n">
        <x:v>22</x:v>
      </x:c>
      <x:c r="S354" t="n">
        <x:v>8</x:v>
      </x:c>
      <x:c r="T354" t="n">
        <x:v>1</x:v>
      </x:c>
      <x:c r="U354" t="n">
        <x:v>7</x:v>
      </x:c>
      <x:c r="V354" s="16" t="n">
        <x:v>15</x:v>
      </x:c>
      <x:c r="W354" t="str">
        <x:v>Parsed from Tracker.gg MHTML/PDF export; competitive rows only.</x:v>
      </x:c>
      <x:c r="X354" t="n">
        <x:f>IF(L354="Win",1,0)</x:f>
        <x:v>1</x:v>
      </x:c>
      <x:c r="Y354" s="14" t="n">
        <x:f>IF(L354="Loss",1,0)</x:f>
        <x:v>0</x:v>
      </x:c>
      <x:c r="Z354" t="n">
        <x:f>IF(L354="Draw/Unknown",1,0)</x:f>
        <x:v>0</x:v>
      </x:c>
      <x:c r="AA354" s="16" t="str">
        <x:f>IF(OR(N354="",O354=""),"",N354-O354)</x:f>
      </x:c>
      <x:c r="AB354" s="16" t="n">
        <x:f>IF(T354=0,S354+U354,(S354+U354)/T354)</x:f>
        <x:v>15</x:v>
      </x:c>
      <x:c r="AC354" t="n">
        <x:f>S354+U354</x:f>
        <x:v>15</x:v>
      </x:c>
      <x:c r="AD354" t="n">
        <x:f>IF(T354=0,1,0)</x:f>
        <x:v>0</x:v>
      </x:c>
      <x:c r="AE354" t="str">
        <x:f>IF(R354&gt;0,"Gain",IF(R354&lt;0,"Loss","Neutral"))</x:f>
        <x:v>Gain</x:v>
      </x:c>
    </x:row>
    <x:row r="355">
      <x:c r="A355" t="n">
        <x:v>354</x:v>
      </x:c>
      <x:c r="B355" s="12" t="n">
        <x:v>46086</x:v>
      </x:c>
      <x:c r="C355" t="str">
        <x:v>Mar 5</x:v>
      </x:c>
      <x:c r="D355" t="n">
        <x:v>9</x:v>
      </x:c>
      <x:c r="E355" t="n">
        <x:v>4</x:v>
      </x:c>
      <x:c r="F355" s="14" t="n">
        <x:v>5</x:v>
      </x:c>
      <x:c r="G355" t="str">
        <x:v>3mo ago</x:v>
      </x:c>
      <x:c r="H355" t="str">
        <x:v>Competitive</x:v>
      </x:c>
      <x:c r="I355" t="str">
        <x:v>Convoy</x:v>
      </x:c>
      <x:c r="J355" t="str">
        <x:v>Yggdrasill Path</x:v>
      </x:c>
      <x:c r="K355" t="str">
        <x:v>The Thing</x:v>
      </x:c>
      <x:c r="L355" t="str">
        <x:v>Loss</x:v>
      </x:c>
      <x:c r="M355" t="str"/>
      <x:c r="N355" t="n">
        <x:v>2</x:v>
      </x:c>
      <x:c r="O355" t="n">
        <x:v>0</x:v>
      </x:c>
      <x:c r="P355" t="str">
        <x:v>Grandmaster III</x:v>
      </x:c>
      <x:c r="Q355" t="n">
        <x:v>4523</x:v>
      </x:c>
      <x:c r="R355" s="14" t="n">
        <x:v>-25</x:v>
      </x:c>
      <x:c r="S355" t="n">
        <x:v>16</x:v>
      </x:c>
      <x:c r="T355" t="n">
        <x:v>19</x:v>
      </x:c>
      <x:c r="U355" t="n">
        <x:v>14</x:v>
      </x:c>
      <x:c r="V355" s="16" t="n">
        <x:v>1.58</x:v>
      </x:c>
      <x:c r="W355" t="str">
        <x:v>Parsed from Tracker.gg MHTML/PDF export; competitive rows only.</x:v>
      </x:c>
      <x:c r="X355" t="n">
        <x:f>IF(L355="Win",1,0)</x:f>
        <x:v>0</x:v>
      </x:c>
      <x:c r="Y355" s="14" t="n">
        <x:f>IF(L355="Loss",1,0)</x:f>
        <x:v>1</x:v>
      </x:c>
      <x:c r="Z355" t="n">
        <x:f>IF(L355="Draw/Unknown",1,0)</x:f>
        <x:v>0</x:v>
      </x:c>
      <x:c r="AA355" s="16" t="str">
        <x:f>IF(OR(N355="",O355=""),"",N355-O355)</x:f>
      </x:c>
      <x:c r="AB355" s="16" t="n">
        <x:f>IF(T355=0,S355+U355,(S355+U355)/T355)</x:f>
        <x:v>1.5789473684210527</x:v>
      </x:c>
      <x:c r="AC355" t="n">
        <x:f>S355+U355</x:f>
        <x:v>30</x:v>
      </x:c>
      <x:c r="AD355" t="n">
        <x:f>IF(T355=0,1,0)</x:f>
        <x:v>0</x:v>
      </x:c>
      <x:c r="AE355" t="str">
        <x:f>IF(R355&gt;0,"Gain",IF(R355&lt;0,"Loss","Neutral"))</x:f>
        <x:v>Loss</x:v>
      </x:c>
    </x:row>
    <x:row r="356">
      <x:c r="A356" t="n">
        <x:v>355</x:v>
      </x:c>
      <x:c r="B356" s="12" t="n">
        <x:v>46085</x:v>
      </x:c>
      <x:c r="C356" t="str">
        <x:v>Mar 4</x:v>
      </x:c>
      <x:c r="D356" t="n">
        <x:v>13</x:v>
      </x:c>
      <x:c r="E356" t="n">
        <x:v>6</x:v>
      </x:c>
      <x:c r="F356" s="14" t="n">
        <x:v>7</x:v>
      </x:c>
      <x:c r="G356" t="str">
        <x:v>3mo ago</x:v>
      </x:c>
      <x:c r="H356" t="str">
        <x:v>Competitive</x:v>
      </x:c>
      <x:c r="I356" t="str">
        <x:v>Domination</x:v>
      </x:c>
      <x:c r="J356" t="str">
        <x:v>Krakoa</x:v>
      </x:c>
      <x:c r="K356" t="str">
        <x:v>The Thing</x:v>
      </x:c>
      <x:c r="L356" t="str">
        <x:v>Win</x:v>
      </x:c>
      <x:c r="M356" t="str"/>
      <x:c r="N356" t="n">
        <x:v>1</x:v>
      </x:c>
      <x:c r="O356" t="n">
        <x:v>2</x:v>
      </x:c>
      <x:c r="P356" t="str">
        <x:v>Grandmaster III</x:v>
      </x:c>
      <x:c r="Q356" t="n">
        <x:v>4548</x:v>
      </x:c>
      <x:c r="R356" s="14" t="n">
        <x:v>21</x:v>
      </x:c>
      <x:c r="S356" t="n">
        <x:v>20</x:v>
      </x:c>
      <x:c r="T356" t="n">
        <x:v>6</x:v>
      </x:c>
      <x:c r="U356" t="n">
        <x:v>9</x:v>
      </x:c>
      <x:c r="V356" s="16" t="n">
        <x:v>4.83</x:v>
      </x:c>
      <x:c r="W356" t="str">
        <x:v>Parsed from Tracker.gg MHTML/PDF export; competitive rows only.</x:v>
      </x:c>
      <x:c r="X356" t="n">
        <x:f>IF(L356="Win",1,0)</x:f>
        <x:v>1</x:v>
      </x:c>
      <x:c r="Y356" s="14" t="n">
        <x:f>IF(L356="Loss",1,0)</x:f>
        <x:v>0</x:v>
      </x:c>
      <x:c r="Z356" t="n">
        <x:f>IF(L356="Draw/Unknown",1,0)</x:f>
        <x:v>0</x:v>
      </x:c>
      <x:c r="AA356" s="16" t="n">
        <x:f>IF(OR(N356="",O356=""),"",N356-O356)</x:f>
        <x:v>-1</x:v>
      </x:c>
      <x:c r="AB356" s="16" t="n">
        <x:f>IF(T356=0,S356+U356,(S356+U356)/T356)</x:f>
        <x:v>4.833333333333333</x:v>
      </x:c>
      <x:c r="AC356" t="n">
        <x:f>S356+U356</x:f>
        <x:v>29</x:v>
      </x:c>
      <x:c r="AD356" t="n">
        <x:f>IF(T356=0,1,0)</x:f>
        <x:v>0</x:v>
      </x:c>
      <x:c r="AE356" t="str">
        <x:f>IF(R356&gt;0,"Gain",IF(R356&lt;0,"Loss","Neutral"))</x:f>
        <x:v>Gain</x:v>
      </x:c>
    </x:row>
    <x:row r="357">
      <x:c r="A357" t="n">
        <x:v>356</x:v>
      </x:c>
      <x:c r="B357" s="12" t="n">
        <x:v>46085</x:v>
      </x:c>
      <x:c r="C357" t="str">
        <x:v>Mar 4</x:v>
      </x:c>
      <x:c r="D357" t="n">
        <x:v>13</x:v>
      </x:c>
      <x:c r="E357" t="n">
        <x:v>6</x:v>
      </x:c>
      <x:c r="F357" s="14" t="n">
        <x:v>7</x:v>
      </x:c>
      <x:c r="G357" t="str">
        <x:v>3mo ago</x:v>
      </x:c>
      <x:c r="H357" t="str">
        <x:v>Competitive</x:v>
      </x:c>
      <x:c r="I357" t="str">
        <x:v>Convoy</x:v>
      </x:c>
      <x:c r="J357" t="str">
        <x:v>Spider-Islands</x:v>
      </x:c>
      <x:c r="K357" t="str">
        <x:v>The Thing</x:v>
      </x:c>
      <x:c r="L357" t="str">
        <x:v>Win</x:v>
      </x:c>
      <x:c r="M357" t="str"/>
      <x:c r="N357" t="n">
        <x:v>2</x:v>
      </x:c>
      <x:c r="O357" t="n">
        <x:v>0</x:v>
      </x:c>
      <x:c r="P357" t="str">
        <x:v>Grandmaster III</x:v>
      </x:c>
      <x:c r="Q357" t="n">
        <x:v>4527</x:v>
      </x:c>
      <x:c r="R357" s="14" t="n">
        <x:v>20</x:v>
      </x:c>
      <x:c r="S357" t="n">
        <x:v>27</x:v>
      </x:c>
      <x:c r="T357" t="n">
        <x:v>7</x:v>
      </x:c>
      <x:c r="U357" t="n">
        <x:v>14</x:v>
      </x:c>
      <x:c r="V357" s="16" t="n">
        <x:v>5.86</x:v>
      </x:c>
      <x:c r="W357" t="str">
        <x:v>Parsed from Tracker.gg MHTML/PDF export; competitive rows only.</x:v>
      </x:c>
      <x:c r="X357" t="n">
        <x:f>IF(L357="Win",1,0)</x:f>
        <x:v>1</x:v>
      </x:c>
      <x:c r="Y357" s="14" t="n">
        <x:f>IF(L357="Loss",1,0)</x:f>
        <x:v>0</x:v>
      </x:c>
      <x:c r="Z357" t="n">
        <x:f>IF(L357="Draw/Unknown",1,0)</x:f>
        <x:v>0</x:v>
      </x:c>
      <x:c r="AA357" s="16" t="str">
        <x:f>IF(OR(N357="",O357=""),"",N357-O357)</x:f>
      </x:c>
      <x:c r="AB357" s="16" t="n">
        <x:f>IF(T357=0,S357+U357,(S357+U357)/T357)</x:f>
        <x:v>5.857142857142857</x:v>
      </x:c>
      <x:c r="AC357" t="n">
        <x:f>S357+U357</x:f>
        <x:v>41</x:v>
      </x:c>
      <x:c r="AD357" t="n">
        <x:f>IF(T357=0,1,0)</x:f>
        <x:v>0</x:v>
      </x:c>
      <x:c r="AE357" t="str">
        <x:f>IF(R357&gt;0,"Gain",IF(R357&lt;0,"Loss","Neutral"))</x:f>
        <x:v>Gain</x:v>
      </x:c>
    </x:row>
    <x:row r="358">
      <x:c r="A358" t="n">
        <x:v>357</x:v>
      </x:c>
      <x:c r="B358" s="12" t="n">
        <x:v>46085</x:v>
      </x:c>
      <x:c r="C358" t="str">
        <x:v>Mar 4</x:v>
      </x:c>
      <x:c r="D358" t="n">
        <x:v>13</x:v>
      </x:c>
      <x:c r="E358" t="n">
        <x:v>6</x:v>
      </x:c>
      <x:c r="F358" s="14" t="n">
        <x:v>7</x:v>
      </x:c>
      <x:c r="G358" t="str">
        <x:v>3mo ago</x:v>
      </x:c>
      <x:c r="H358" t="str">
        <x:v>Competitive</x:v>
      </x:c>
      <x:c r="I358" t="str">
        <x:v>Convergence</x:v>
      </x:c>
      <x:c r="J358" t="str">
        <x:v>Central Park</x:v>
      </x:c>
      <x:c r="K358" t="str">
        <x:v>Cloak &amp; Dagger</x:v>
      </x:c>
      <x:c r="L358" t="str">
        <x:v>Win</x:v>
      </x:c>
      <x:c r="M358" t="str"/>
      <x:c r="N358" t="n">
        <x:v>0</x:v>
      </x:c>
      <x:c r="O358" t="n">
        <x:v>1</x:v>
      </x:c>
      <x:c r="P358" t="str">
        <x:v>Grandmaster III</x:v>
      </x:c>
      <x:c r="Q358" t="n">
        <x:v>4506</x:v>
      </x:c>
      <x:c r="R358" s="14" t="n">
        <x:v>24</x:v>
      </x:c>
      <x:c r="S358" t="n">
        <x:v>11</x:v>
      </x:c>
      <x:c r="T358" t="n">
        <x:v>4</x:v>
      </x:c>
      <x:c r="U358" t="n">
        <x:v>19</x:v>
      </x:c>
      <x:c r="V358" s="16" t="n">
        <x:v>7.5</x:v>
      </x:c>
      <x:c r="W358" t="str">
        <x:v>Parsed from Tracker.gg MHTML/PDF export; competitive rows only.</x:v>
      </x:c>
      <x:c r="X358" t="n">
        <x:f>IF(L358="Win",1,0)</x:f>
        <x:v>1</x:v>
      </x:c>
      <x:c r="Y358" s="14" t="n">
        <x:f>IF(L358="Loss",1,0)</x:f>
        <x:v>0</x:v>
      </x:c>
      <x:c r="Z358" t="n">
        <x:f>IF(L358="Draw/Unknown",1,0)</x:f>
        <x:v>0</x:v>
      </x:c>
      <x:c r="AA358" s="16" t="str">
        <x:f>IF(OR(N358="",O358=""),"",N358-O358)</x:f>
      </x:c>
      <x:c r="AB358" s="16" t="n">
        <x:f>IF(T358=0,S358+U358,(S358+U358)/T358)</x:f>
        <x:v>7.5</x:v>
      </x:c>
      <x:c r="AC358" t="n">
        <x:f>S358+U358</x:f>
        <x:v>30</x:v>
      </x:c>
      <x:c r="AD358" t="n">
        <x:f>IF(T358=0,1,0)</x:f>
        <x:v>0</x:v>
      </x:c>
      <x:c r="AE358" t="str">
        <x:f>IF(R358&gt;0,"Gain",IF(R358&lt;0,"Loss","Neutral"))</x:f>
        <x:v>Gain</x:v>
      </x:c>
    </x:row>
    <x:row r="359">
      <x:c r="A359" t="n">
        <x:v>358</x:v>
      </x:c>
      <x:c r="B359" s="12" t="n">
        <x:v>46085</x:v>
      </x:c>
      <x:c r="C359" t="str">
        <x:v>Mar 4</x:v>
      </x:c>
      <x:c r="D359" t="n">
        <x:v>13</x:v>
      </x:c>
      <x:c r="E359" t="n">
        <x:v>6</x:v>
      </x:c>
      <x:c r="F359" s="14" t="n">
        <x:v>7</x:v>
      </x:c>
      <x:c r="G359" t="str">
        <x:v>3mo ago</x:v>
      </x:c>
      <x:c r="H359" t="str">
        <x:v>Competitive</x:v>
      </x:c>
      <x:c r="I359" t="str">
        <x:v>Domination</x:v>
      </x:c>
      <x:c r="J359" t="str">
        <x:v>Celestial Husk</x:v>
      </x:c>
      <x:c r="K359" t="str">
        <x:v>The Punisher</x:v>
      </x:c>
      <x:c r="L359" t="str">
        <x:v>Loss</x:v>
      </x:c>
      <x:c r="M359" t="str"/>
      <x:c r="N359" t="n">
        <x:v>0</x:v>
      </x:c>
      <x:c r="O359" t="n">
        <x:v>2</x:v>
      </x:c>
      <x:c r="P359" t="str">
        <x:v>Grandmaster III</x:v>
      </x:c>
      <x:c r="Q359" t="n">
        <x:v>4482</x:v>
      </x:c>
      <x:c r="R359" s="14" t="n">
        <x:v>-22</x:v>
      </x:c>
      <x:c r="S359" t="n">
        <x:v>3</x:v>
      </x:c>
      <x:c r="T359" t="n">
        <x:v>10</x:v>
      </x:c>
      <x:c r="U359" t="n">
        <x:v>0</x:v>
      </x:c>
      <x:c r="V359" s="16" t="n">
        <x:v>0.3</x:v>
      </x:c>
      <x:c r="W359" t="str">
        <x:v>Parsed from Tracker.gg MHTML/PDF export; competitive rows only.</x:v>
      </x:c>
      <x:c r="X359" t="n">
        <x:f>IF(L359="Win",1,0)</x:f>
        <x:v>0</x:v>
      </x:c>
      <x:c r="Y359" s="14" t="n">
        <x:f>IF(L359="Loss",1,0)</x:f>
        <x:v>1</x:v>
      </x:c>
      <x:c r="Z359" t="n">
        <x:f>IF(L359="Draw/Unknown",1,0)</x:f>
        <x:v>0</x:v>
      </x:c>
      <x:c r="AA359" s="16" t="str">
        <x:f>IF(OR(N359="",O359=""),"",N359-O359)</x:f>
      </x:c>
      <x:c r="AB359" s="16" t="n">
        <x:f>IF(T359=0,S359+U359,(S359+U359)/T359)</x:f>
        <x:v>0.3</x:v>
      </x:c>
      <x:c r="AC359" t="n">
        <x:f>S359+U359</x:f>
        <x:v>3</x:v>
      </x:c>
      <x:c r="AD359" t="n">
        <x:f>IF(T359=0,1,0)</x:f>
        <x:v>0</x:v>
      </x:c>
      <x:c r="AE359" t="str">
        <x:f>IF(R359&gt;0,"Gain",IF(R359&lt;0,"Loss","Neutral"))</x:f>
        <x:v>Loss</x:v>
      </x:c>
    </x:row>
    <x:row r="360">
      <x:c r="A360" t="n">
        <x:v>359</x:v>
      </x:c>
      <x:c r="B360" s="12" t="n">
        <x:v>46085</x:v>
      </x:c>
      <x:c r="C360" t="str">
        <x:v>Mar 4</x:v>
      </x:c>
      <x:c r="D360" t="n">
        <x:v>13</x:v>
      </x:c>
      <x:c r="E360" t="n">
        <x:v>6</x:v>
      </x:c>
      <x:c r="F360" s="14" t="n">
        <x:v>7</x:v>
      </x:c>
      <x:c r="G360" t="str">
        <x:v>3mo ago</x:v>
      </x:c>
      <x:c r="H360" t="str">
        <x:v>Competitive</x:v>
      </x:c>
      <x:c r="I360" t="str">
        <x:v>Domination</x:v>
      </x:c>
      <x:c r="J360" t="str">
        <x:v>Birnin T'Challa</x:v>
      </x:c>
      <x:c r="K360" t="str">
        <x:v>The Thing</x:v>
      </x:c>
      <x:c r="L360" t="str">
        <x:v>Loss</x:v>
      </x:c>
      <x:c r="M360" t="str"/>
      <x:c r="N360" t="n">
        <x:v>0</x:v>
      </x:c>
      <x:c r="O360" t="n">
        <x:v>2</x:v>
      </x:c>
      <x:c r="P360" t="str">
        <x:v>Grandmaster III</x:v>
      </x:c>
      <x:c r="Q360" t="n">
        <x:v>4504</x:v>
      </x:c>
      <x:c r="R360" s="14" t="n">
        <x:v>-18</x:v>
      </x:c>
      <x:c r="S360" t="n">
        <x:v>17</x:v>
      </x:c>
      <x:c r="T360" t="n">
        <x:v>8</x:v>
      </x:c>
      <x:c r="U360" t="n">
        <x:v>8</x:v>
      </x:c>
      <x:c r="V360" s="16" t="n">
        <x:v>3.12</x:v>
      </x:c>
      <x:c r="W360" t="str">
        <x:v>Parsed from Tracker.gg MHTML/PDF export; competitive rows only.</x:v>
      </x:c>
      <x:c r="X360" t="n">
        <x:f>IF(L360="Win",1,0)</x:f>
        <x:v>0</x:v>
      </x:c>
      <x:c r="Y360" s="14" t="n">
        <x:f>IF(L360="Loss",1,0)</x:f>
        <x:v>1</x:v>
      </x:c>
      <x:c r="Z360" t="n">
        <x:f>IF(L360="Draw/Unknown",1,0)</x:f>
        <x:v>0</x:v>
      </x:c>
      <x:c r="AA360" s="16" t="str">
        <x:f>IF(OR(N360="",O360=""),"",N360-O360)</x:f>
      </x:c>
      <x:c r="AB360" s="16" t="n">
        <x:f>IF(T360=0,S360+U360,(S360+U360)/T360)</x:f>
        <x:v>3.125</x:v>
      </x:c>
      <x:c r="AC360" t="n">
        <x:f>S360+U360</x:f>
        <x:v>25</x:v>
      </x:c>
      <x:c r="AD360" t="n">
        <x:f>IF(T360=0,1,0)</x:f>
        <x:v>0</x:v>
      </x:c>
      <x:c r="AE360" t="str">
        <x:f>IF(R360&gt;0,"Gain",IF(R360&lt;0,"Loss","Neutral"))</x:f>
        <x:v>Loss</x:v>
      </x:c>
    </x:row>
    <x:row r="361">
      <x:c r="A361" t="n">
        <x:v>360</x:v>
      </x:c>
      <x:c r="B361" s="12" t="n">
        <x:v>46085</x:v>
      </x:c>
      <x:c r="C361" t="str">
        <x:v>Mar 4</x:v>
      </x:c>
      <x:c r="D361" t="n">
        <x:v>13</x:v>
      </x:c>
      <x:c r="E361" t="n">
        <x:v>6</x:v>
      </x:c>
      <x:c r="F361" s="14" t="n">
        <x:v>7</x:v>
      </x:c>
      <x:c r="G361" t="str">
        <x:v>3mo ago</x:v>
      </x:c>
      <x:c r="H361" t="str">
        <x:v>Competitive</x:v>
      </x:c>
      <x:c r="I361" t="str">
        <x:v>Convergence</x:v>
      </x:c>
      <x:c r="J361" t="str">
        <x:v>Heart Of Heaven</x:v>
      </x:c>
      <x:c r="K361" t="str">
        <x:v>Doctor Strange</x:v>
      </x:c>
      <x:c r="L361" t="str">
        <x:v>Win</x:v>
      </x:c>
      <x:c r="M361" t="str"/>
      <x:c r="N361" t="n">
        <x:v>1</x:v>
      </x:c>
      <x:c r="O361" t="n">
        <x:v>2</x:v>
      </x:c>
      <x:c r="P361" t="str">
        <x:v>Grandmaster III</x:v>
      </x:c>
      <x:c r="Q361" t="n">
        <x:v>4522</x:v>
      </x:c>
      <x:c r="R361" s="14" t="n">
        <x:v>22</x:v>
      </x:c>
      <x:c r="S361" t="n">
        <x:v>26</x:v>
      </x:c>
      <x:c r="T361" t="n">
        <x:v>9</x:v>
      </x:c>
      <x:c r="U361" t="n">
        <x:v>8</x:v>
      </x:c>
      <x:c r="V361" s="16" t="n">
        <x:v>3.78</x:v>
      </x:c>
      <x:c r="W361" t="str">
        <x:v>Parsed from Tracker.gg MHTML/PDF export; competitive rows only.</x:v>
      </x:c>
      <x:c r="X361" t="n">
        <x:f>IF(L361="Win",1,0)</x:f>
        <x:v>1</x:v>
      </x:c>
      <x:c r="Y361" s="14" t="n">
        <x:f>IF(L361="Loss",1,0)</x:f>
        <x:v>0</x:v>
      </x:c>
      <x:c r="Z361" t="n">
        <x:f>IF(L361="Draw/Unknown",1,0)</x:f>
        <x:v>0</x:v>
      </x:c>
      <x:c r="AA361" s="16" t="n">
        <x:f>IF(OR(N361="",O361=""),"",N361-O361)</x:f>
        <x:v>-1</x:v>
      </x:c>
      <x:c r="AB361" s="16" t="n">
        <x:f>IF(T361=0,S361+U361,(S361+U361)/T361)</x:f>
        <x:v>3.7777777777777777</x:v>
      </x:c>
      <x:c r="AC361" t="n">
        <x:f>S361+U361</x:f>
        <x:v>34</x:v>
      </x:c>
      <x:c r="AD361" t="n">
        <x:f>IF(T361=0,1,0)</x:f>
        <x:v>0</x:v>
      </x:c>
      <x:c r="AE361" t="str">
        <x:f>IF(R361&gt;0,"Gain",IF(R361&lt;0,"Loss","Neutral"))</x:f>
        <x:v>Gain</x:v>
      </x:c>
    </x:row>
    <x:row r="362">
      <x:c r="A362" t="n">
        <x:v>361</x:v>
      </x:c>
      <x:c r="B362" s="12" t="n">
        <x:v>46085</x:v>
      </x:c>
      <x:c r="C362" t="str">
        <x:v>Mar 4</x:v>
      </x:c>
      <x:c r="D362" t="n">
        <x:v>13</x:v>
      </x:c>
      <x:c r="E362" t="n">
        <x:v>6</x:v>
      </x:c>
      <x:c r="F362" s="14" t="n">
        <x:v>7</x:v>
      </x:c>
      <x:c r="G362" t="str">
        <x:v>3mo ago</x:v>
      </x:c>
      <x:c r="H362" t="str">
        <x:v>Competitive</x:v>
      </x:c>
      <x:c r="I362" t="str">
        <x:v>Convergence</x:v>
      </x:c>
      <x:c r="J362" t="str">
        <x:v>Hall Of Djalia</x:v>
      </x:c>
      <x:c r="K362" t="str">
        <x:v>Cloak &amp; Dagger</x:v>
      </x:c>
      <x:c r="L362" t="str">
        <x:v>Loss</x:v>
      </x:c>
      <x:c r="M362" t="str"/>
      <x:c r="N362" t="n">
        <x:v>2</x:v>
      </x:c>
      <x:c r="O362" t="n">
        <x:v>3</x:v>
      </x:c>
      <x:c r="P362" t="str">
        <x:v>Grandmaster III</x:v>
      </x:c>
      <x:c r="Q362" t="n">
        <x:v>4499</x:v>
      </x:c>
      <x:c r="R362" s="14" t="n">
        <x:v>-22</x:v>
      </x:c>
      <x:c r="S362" t="n">
        <x:v>14</x:v>
      </x:c>
      <x:c r="T362" t="n">
        <x:v>9</x:v>
      </x:c>
      <x:c r="U362" t="n">
        <x:v>17</x:v>
      </x:c>
      <x:c r="V362" s="16" t="n">
        <x:v>3.44</x:v>
      </x:c>
      <x:c r="W362" t="str">
        <x:v>Parsed from Tracker.gg MHTML/PDF export; competitive rows only.</x:v>
      </x:c>
      <x:c r="X362" t="n">
        <x:f>IF(L362="Win",1,0)</x:f>
        <x:v>0</x:v>
      </x:c>
      <x:c r="Y362" s="14" t="n">
        <x:f>IF(L362="Loss",1,0)</x:f>
        <x:v>1</x:v>
      </x:c>
      <x:c r="Z362" t="n">
        <x:f>IF(L362="Draw/Unknown",1,0)</x:f>
        <x:v>0</x:v>
      </x:c>
      <x:c r="AA362" s="16" t="n">
        <x:f>IF(OR(N362="",O362=""),"",N362-O362)</x:f>
        <x:v>-1</x:v>
      </x:c>
      <x:c r="AB362" s="16" t="n">
        <x:f>IF(T362=0,S362+U362,(S362+U362)/T362)</x:f>
        <x:v>3.4444444444444446</x:v>
      </x:c>
      <x:c r="AC362" t="n">
        <x:f>S362+U362</x:f>
        <x:v>31</x:v>
      </x:c>
      <x:c r="AD362" t="n">
        <x:f>IF(T362=0,1,0)</x:f>
        <x:v>0</x:v>
      </x:c>
      <x:c r="AE362" t="str">
        <x:f>IF(R362&gt;0,"Gain",IF(R362&lt;0,"Loss","Neutral"))</x:f>
        <x:v>Loss</x:v>
      </x:c>
    </x:row>
    <x:row r="363">
      <x:c r="A363" t="n">
        <x:v>362</x:v>
      </x:c>
      <x:c r="B363" s="12" t="n">
        <x:v>46085</x:v>
      </x:c>
      <x:c r="C363" t="str">
        <x:v>Mar 4</x:v>
      </x:c>
      <x:c r="D363" t="n">
        <x:v>13</x:v>
      </x:c>
      <x:c r="E363" t="n">
        <x:v>6</x:v>
      </x:c>
      <x:c r="F363" s="14" t="n">
        <x:v>7</x:v>
      </x:c>
      <x:c r="G363" t="str">
        <x:v>3mo ago</x:v>
      </x:c>
      <x:c r="H363" t="str">
        <x:v>Competitive</x:v>
      </x:c>
      <x:c r="I363" t="str">
        <x:v>Convergence</x:v>
      </x:c>
      <x:c r="J363" t="str">
        <x:v>Symbiotic Surface</x:v>
      </x:c>
      <x:c r="K363" t="str">
        <x:v>The Thing</x:v>
      </x:c>
      <x:c r="L363" t="str">
        <x:v>Loss</x:v>
      </x:c>
      <x:c r="M363" t="str"/>
      <x:c r="N363" t="n">
        <x:v>3</x:v>
      </x:c>
      <x:c r="O363" t="n">
        <x:v>2</x:v>
      </x:c>
      <x:c r="P363" t="str">
        <x:v>Grandmaster III</x:v>
      </x:c>
      <x:c r="Q363" t="n">
        <x:v>4520</x:v>
      </x:c>
      <x:c r="R363" s="14" t="n">
        <x:v>-20</x:v>
      </x:c>
      <x:c r="S363" t="n">
        <x:v>25</x:v>
      </x:c>
      <x:c r="T363" t="n">
        <x:v>11</x:v>
      </x:c>
      <x:c r="U363" t="n">
        <x:v>11</x:v>
      </x:c>
      <x:c r="V363" s="16" t="n">
        <x:v>3.27</x:v>
      </x:c>
      <x:c r="W363" t="str">
        <x:v>Parsed from Tracker.gg MHTML/PDF export; competitive rows only.</x:v>
      </x:c>
      <x:c r="X363" t="n">
        <x:f>IF(L363="Win",1,0)</x:f>
        <x:v>0</x:v>
      </x:c>
      <x:c r="Y363" s="14" t="n">
        <x:f>IF(L363="Loss",1,0)</x:f>
        <x:v>1</x:v>
      </x:c>
      <x:c r="Z363" t="n">
        <x:f>IF(L363="Draw/Unknown",1,0)</x:f>
        <x:v>0</x:v>
      </x:c>
      <x:c r="AA363" s="16" t="n">
        <x:f>IF(OR(N363="",O363=""),"",N363-O363)</x:f>
        <x:v>1</x:v>
      </x:c>
      <x:c r="AB363" s="16" t="n">
        <x:f>IF(T363=0,S363+U363,(S363+U363)/T363)</x:f>
        <x:v>3.272727272727273</x:v>
      </x:c>
      <x:c r="AC363" t="n">
        <x:f>S363+U363</x:f>
        <x:v>36</x:v>
      </x:c>
      <x:c r="AD363" t="n">
        <x:f>IF(T363=0,1,0)</x:f>
        <x:v>0</x:v>
      </x:c>
      <x:c r="AE363" t="str">
        <x:f>IF(R363&gt;0,"Gain",IF(R363&lt;0,"Loss","Neutral"))</x:f>
        <x:v>Loss</x:v>
      </x:c>
    </x:row>
    <x:row r="364">
      <x:c r="A364" t="n">
        <x:v>363</x:v>
      </x:c>
      <x:c r="B364" s="12" t="n">
        <x:v>46084</x:v>
      </x:c>
      <x:c r="C364" t="str">
        <x:v>Mar 3</x:v>
      </x:c>
      <x:c r="D364" t="n">
        <x:v>14</x:v>
      </x:c>
      <x:c r="E364" t="n">
        <x:v>9</x:v>
      </x:c>
      <x:c r="F364" s="14" t="n">
        <x:v>5</x:v>
      </x:c>
      <x:c r="G364" t="str">
        <x:v>3mo ago</x:v>
      </x:c>
      <x:c r="H364" t="str">
        <x:v>Competitive</x:v>
      </x:c>
      <x:c r="I364" t="str">
        <x:v>Convoy</x:v>
      </x:c>
      <x:c r="J364" t="str">
        <x:v>Midtown</x:v>
      </x:c>
      <x:c r="K364" t="str">
        <x:v>The Thing</x:v>
      </x:c>
      <x:c r="L364" t="str">
        <x:v>Loss</x:v>
      </x:c>
      <x:c r="M364" t="str"/>
      <x:c r="N364" t="n">
        <x:v>3</x:v>
      </x:c>
      <x:c r="O364" t="n">
        <x:v>4</x:v>
      </x:c>
      <x:c r="P364" t="str">
        <x:v>Grandmaster III</x:v>
      </x:c>
      <x:c r="Q364" t="n">
        <x:v>4540</x:v>
      </x:c>
      <x:c r="R364" s="14" t="n">
        <x:v>-22</x:v>
      </x:c>
      <x:c r="S364" t="n">
        <x:v>27</x:v>
      </x:c>
      <x:c r="T364" t="n">
        <x:v>21</x:v>
      </x:c>
      <x:c r="U364" t="n">
        <x:v>8</x:v>
      </x:c>
      <x:c r="V364" s="16" t="n">
        <x:v>1.67</x:v>
      </x:c>
      <x:c r="W364" t="str">
        <x:v>Parsed from Tracker.gg MHTML/PDF export; competitive rows only.</x:v>
      </x:c>
      <x:c r="X364" t="n">
        <x:f>IF(L364="Win",1,0)</x:f>
        <x:v>0</x:v>
      </x:c>
      <x:c r="Y364" s="14" t="n">
        <x:f>IF(L364="Loss",1,0)</x:f>
        <x:v>1</x:v>
      </x:c>
      <x:c r="Z364" t="n">
        <x:f>IF(L364="Draw/Unknown",1,0)</x:f>
        <x:v>0</x:v>
      </x:c>
      <x:c r="AA364" s="16" t="n">
        <x:f>IF(OR(N364="",O364=""),"",N364-O364)</x:f>
        <x:v>-1</x:v>
      </x:c>
      <x:c r="AB364" s="16" t="n">
        <x:f>IF(T364=0,S364+U364,(S364+U364)/T364)</x:f>
        <x:v>1.6666666666666667</x:v>
      </x:c>
      <x:c r="AC364" t="n">
        <x:f>S364+U364</x:f>
        <x:v>35</x:v>
      </x:c>
      <x:c r="AD364" t="n">
        <x:f>IF(T364=0,1,0)</x:f>
        <x:v>0</x:v>
      </x:c>
      <x:c r="AE364" t="str">
        <x:f>IF(R364&gt;0,"Gain",IF(R364&lt;0,"Loss","Neutral"))</x:f>
        <x:v>Loss</x:v>
      </x:c>
    </x:row>
    <x:row r="365">
      <x:c r="A365" t="n">
        <x:v>364</x:v>
      </x:c>
      <x:c r="B365" s="12" t="n">
        <x:v>46084</x:v>
      </x:c>
      <x:c r="C365" t="str">
        <x:v>Mar 3</x:v>
      </x:c>
      <x:c r="D365" t="n">
        <x:v>14</x:v>
      </x:c>
      <x:c r="E365" t="n">
        <x:v>9</x:v>
      </x:c>
      <x:c r="F365" s="14" t="n">
        <x:v>5</x:v>
      </x:c>
      <x:c r="G365" t="str">
        <x:v>3mo ago</x:v>
      </x:c>
      <x:c r="H365" t="str">
        <x:v>Competitive</x:v>
      </x:c>
      <x:c r="I365" t="str">
        <x:v>Convoy</x:v>
      </x:c>
      <x:c r="J365" t="str">
        <x:v>Spider-Islands</x:v>
      </x:c>
      <x:c r="K365" t="str">
        <x:v>The Thing</x:v>
      </x:c>
      <x:c r="L365" t="str">
        <x:v>Win</x:v>
      </x:c>
      <x:c r="M365" t="str"/>
      <x:c r="N365" t="n">
        <x:v>1</x:v>
      </x:c>
      <x:c r="O365" t="n">
        <x:v>2</x:v>
      </x:c>
      <x:c r="P365" t="str">
        <x:v>Grandmaster III</x:v>
      </x:c>
      <x:c r="Q365" t="n">
        <x:v>4561</x:v>
      </x:c>
      <x:c r="R365" s="14" t="n">
        <x:v>22</x:v>
      </x:c>
      <x:c r="S365" t="n">
        <x:v>30</x:v>
      </x:c>
      <x:c r="T365" t="n">
        <x:v>10</x:v>
      </x:c>
      <x:c r="U365" t="n">
        <x:v>12</x:v>
      </x:c>
      <x:c r="V365" s="16" t="n">
        <x:v>4.2</x:v>
      </x:c>
      <x:c r="W365" t="str">
        <x:v>Parsed from Tracker.gg MHTML/PDF export; competitive rows only.</x:v>
      </x:c>
      <x:c r="X365" t="n">
        <x:f>IF(L365="Win",1,0)</x:f>
        <x:v>1</x:v>
      </x:c>
      <x:c r="Y365" s="14" t="n">
        <x:f>IF(L365="Loss",1,0)</x:f>
        <x:v>0</x:v>
      </x:c>
      <x:c r="Z365" t="n">
        <x:f>IF(L365="Draw/Unknown",1,0)</x:f>
        <x:v>0</x:v>
      </x:c>
      <x:c r="AA365" s="16" t="n">
        <x:f>IF(OR(N365="",O365=""),"",N365-O365)</x:f>
        <x:v>-1</x:v>
      </x:c>
      <x:c r="AB365" s="16" t="n">
        <x:f>IF(T365=0,S365+U365,(S365+U365)/T365)</x:f>
        <x:v>4.2</x:v>
      </x:c>
      <x:c r="AC365" t="n">
        <x:f>S365+U365</x:f>
        <x:v>42</x:v>
      </x:c>
      <x:c r="AD365" t="n">
        <x:f>IF(T365=0,1,0)</x:f>
        <x:v>0</x:v>
      </x:c>
      <x:c r="AE365" t="str">
        <x:f>IF(R365&gt;0,"Gain",IF(R365&lt;0,"Loss","Neutral"))</x:f>
        <x:v>Gain</x:v>
      </x:c>
    </x:row>
    <x:row r="366">
      <x:c r="A366" t="n">
        <x:v>365</x:v>
      </x:c>
      <x:c r="B366" s="12" t="n">
        <x:v>46084</x:v>
      </x:c>
      <x:c r="C366" t="str">
        <x:v>Mar 3</x:v>
      </x:c>
      <x:c r="D366" t="n">
        <x:v>14</x:v>
      </x:c>
      <x:c r="E366" t="n">
        <x:v>9</x:v>
      </x:c>
      <x:c r="F366" s="14" t="n">
        <x:v>5</x:v>
      </x:c>
      <x:c r="G366" t="str">
        <x:v>3mo ago</x:v>
      </x:c>
      <x:c r="H366" t="str">
        <x:v>Competitive</x:v>
      </x:c>
      <x:c r="I366" t="str">
        <x:v>Convoy</x:v>
      </x:c>
      <x:c r="J366" t="str">
        <x:v>Yggdrasill Path</x:v>
      </x:c>
      <x:c r="K366" t="str">
        <x:v>The Thing</x:v>
      </x:c>
      <x:c r="L366" t="str">
        <x:v>Win</x:v>
      </x:c>
      <x:c r="M366" t="str"/>
      <x:c r="N366" t="n">
        <x:v>2</x:v>
      </x:c>
      <x:c r="O366" t="n">
        <x:v>3</x:v>
      </x:c>
      <x:c r="P366" t="str">
        <x:v>Grandmaster III</x:v>
      </x:c>
      <x:c r="Q366" t="n">
        <x:v>4538</x:v>
      </x:c>
      <x:c r="R366" s="14" t="n">
        <x:v>21</x:v>
      </x:c>
      <x:c r="S366" t="n">
        <x:v>36</x:v>
      </x:c>
      <x:c r="T366" t="n">
        <x:v>14</x:v>
      </x:c>
      <x:c r="U366" t="n">
        <x:v>13</x:v>
      </x:c>
      <x:c r="V366" s="16" t="n">
        <x:v>3.5</x:v>
      </x:c>
      <x:c r="W366" t="str">
        <x:v>Parsed from Tracker.gg MHTML/PDF export; competitive rows only.</x:v>
      </x:c>
      <x:c r="X366" t="n">
        <x:f>IF(L366="Win",1,0)</x:f>
        <x:v>1</x:v>
      </x:c>
      <x:c r="Y366" s="14" t="n">
        <x:f>IF(L366="Loss",1,0)</x:f>
        <x:v>0</x:v>
      </x:c>
      <x:c r="Z366" t="n">
        <x:f>IF(L366="Draw/Unknown",1,0)</x:f>
        <x:v>0</x:v>
      </x:c>
      <x:c r="AA366" s="16" t="n">
        <x:f>IF(OR(N366="",O366=""),"",N366-O366)</x:f>
        <x:v>-1</x:v>
      </x:c>
      <x:c r="AB366" s="16" t="n">
        <x:f>IF(T366=0,S366+U366,(S366+U366)/T366)</x:f>
        <x:v>3.5</x:v>
      </x:c>
      <x:c r="AC366" t="n">
        <x:f>S366+U366</x:f>
        <x:v>49</x:v>
      </x:c>
      <x:c r="AD366" t="n">
        <x:f>IF(T366=0,1,0)</x:f>
        <x:v>0</x:v>
      </x:c>
      <x:c r="AE366" t="str">
        <x:f>IF(R366&gt;0,"Gain",IF(R366&lt;0,"Loss","Neutral"))</x:f>
        <x:v>Gain</x:v>
      </x:c>
    </x:row>
    <x:row r="367">
      <x:c r="A367" t="n">
        <x:v>366</x:v>
      </x:c>
      <x:c r="B367" s="12" t="n">
        <x:v>46084</x:v>
      </x:c>
      <x:c r="C367" t="str">
        <x:v>Mar 3</x:v>
      </x:c>
      <x:c r="D367" t="n">
        <x:v>14</x:v>
      </x:c>
      <x:c r="E367" t="n">
        <x:v>9</x:v>
      </x:c>
      <x:c r="F367" s="14" t="n">
        <x:v>5</x:v>
      </x:c>
      <x:c r="G367" t="str">
        <x:v>3mo ago</x:v>
      </x:c>
      <x:c r="H367" t="str">
        <x:v>Competitive</x:v>
      </x:c>
      <x:c r="I367" t="str">
        <x:v>Convergence</x:v>
      </x:c>
      <x:c r="J367" t="str">
        <x:v>Hall Of Djalia</x:v>
      </x:c>
      <x:c r="K367" t="str">
        <x:v>Rogue</x:v>
      </x:c>
      <x:c r="L367" t="str">
        <x:v>Win</x:v>
      </x:c>
      <x:c r="M367" t="str"/>
      <x:c r="N367" t="n">
        <x:v>3</x:v>
      </x:c>
      <x:c r="O367" t="n">
        <x:v>2</x:v>
      </x:c>
      <x:c r="P367" t="str">
        <x:v>Grandmaster III</x:v>
      </x:c>
      <x:c r="Q367" t="n">
        <x:v>4516</x:v>
      </x:c>
      <x:c r="R367" s="14" t="n">
        <x:v>19</x:v>
      </x:c>
      <x:c r="S367" t="n">
        <x:v>23</x:v>
      </x:c>
      <x:c r="T367" t="n">
        <x:v>16</x:v>
      </x:c>
      <x:c r="U367" t="n">
        <x:v>2</x:v>
      </x:c>
      <x:c r="V367" s="16" t="n">
        <x:v>1.56</x:v>
      </x:c>
      <x:c r="W367" t="str">
        <x:v>Parsed from Tracker.gg MHTML/PDF export; competitive rows only.</x:v>
      </x:c>
      <x:c r="X367" t="n">
        <x:f>IF(L367="Win",1,0)</x:f>
        <x:v>1</x:v>
      </x:c>
      <x:c r="Y367" s="14" t="n">
        <x:f>IF(L367="Loss",1,0)</x:f>
        <x:v>0</x:v>
      </x:c>
      <x:c r="Z367" t="n">
        <x:f>IF(L367="Draw/Unknown",1,0)</x:f>
        <x:v>0</x:v>
      </x:c>
      <x:c r="AA367" s="16" t="n">
        <x:f>IF(OR(N367="",O367=""),"",N367-O367)</x:f>
        <x:v>1</x:v>
      </x:c>
      <x:c r="AB367" s="16" t="n">
        <x:f>IF(T367=0,S367+U367,(S367+U367)/T367)</x:f>
        <x:v>1.5625</x:v>
      </x:c>
      <x:c r="AC367" t="n">
        <x:f>S367+U367</x:f>
        <x:v>25</x:v>
      </x:c>
      <x:c r="AD367" t="n">
        <x:f>IF(T367=0,1,0)</x:f>
        <x:v>0</x:v>
      </x:c>
      <x:c r="AE367" t="str">
        <x:f>IF(R367&gt;0,"Gain",IF(R367&lt;0,"Loss","Neutral"))</x:f>
        <x:v>Gain</x:v>
      </x:c>
    </x:row>
    <x:row r="368">
      <x:c r="A368" t="n">
        <x:v>367</x:v>
      </x:c>
      <x:c r="B368" s="12" t="n">
        <x:v>46084</x:v>
      </x:c>
      <x:c r="C368" t="str">
        <x:v>Mar 3</x:v>
      </x:c>
      <x:c r="D368" t="n">
        <x:v>14</x:v>
      </x:c>
      <x:c r="E368" t="n">
        <x:v>9</x:v>
      </x:c>
      <x:c r="F368" s="14" t="n">
        <x:v>5</x:v>
      </x:c>
      <x:c r="G368" t="str">
        <x:v>3mo ago</x:v>
      </x:c>
      <x:c r="H368" t="str">
        <x:v>Competitive</x:v>
      </x:c>
      <x:c r="I368" t="str">
        <x:v>Convergence</x:v>
      </x:c>
      <x:c r="J368" t="str">
        <x:v>Heart Of Heaven</x:v>
      </x:c>
      <x:c r="K368" t="str">
        <x:v>Peni Parker</x:v>
      </x:c>
      <x:c r="L368" t="str">
        <x:v>Win</x:v>
      </x:c>
      <x:c r="M368" t="str">
        <x:v>MVP</x:v>
      </x:c>
      <x:c r="N368" t="n">
        <x:v>0</x:v>
      </x:c>
      <x:c r="O368" t="n">
        <x:v>0</x:v>
      </x:c>
      <x:c r="P368" t="str">
        <x:v>Grandmaster III</x:v>
      </x:c>
      <x:c r="Q368" t="n">
        <x:v>4497</x:v>
      </x:c>
      <x:c r="R368" s="14" t="n">
        <x:v>24</x:v>
      </x:c>
      <x:c r="S368" t="n">
        <x:v>9</x:v>
      </x:c>
      <x:c r="T368" t="n">
        <x:v>0</x:v>
      </x:c>
      <x:c r="U368" t="n">
        <x:v>9</x:v>
      </x:c>
      <x:c r="V368" s="16" t="n">
        <x:v>18</x:v>
      </x:c>
      <x:c r="W368" t="str">
        <x:v>Parsed from Tracker.gg MHTML/PDF export; competitive rows only.</x:v>
      </x:c>
      <x:c r="X368" t="n">
        <x:f>IF(L368="Win",1,0)</x:f>
        <x:v>1</x:v>
      </x:c>
      <x:c r="Y368" s="14" t="n">
        <x:f>IF(L368="Loss",1,0)</x:f>
        <x:v>0</x:v>
      </x:c>
      <x:c r="Z368" t="n">
        <x:f>IF(L368="Draw/Unknown",1,0)</x:f>
        <x:v>0</x:v>
      </x:c>
      <x:c r="AA368" s="16" t="str">
        <x:f>IF(OR(N368="",O368=""),"",N368-O368)</x:f>
      </x:c>
      <x:c r="AB368" s="16" t="n">
        <x:f>IF(T368=0,S368+U368,(S368+U368)/T368)</x:f>
        <x:v>18</x:v>
      </x:c>
      <x:c r="AC368" t="n">
        <x:f>S368+U368</x:f>
        <x:v>18</x:v>
      </x:c>
      <x:c r="AD368" t="n">
        <x:f>IF(T368=0,1,0)</x:f>
        <x:v>1</x:v>
      </x:c>
      <x:c r="AE368" t="str">
        <x:f>IF(R368&gt;0,"Gain",IF(R368&lt;0,"Loss","Neutral"))</x:f>
        <x:v>Gain</x:v>
      </x:c>
    </x:row>
    <x:row r="369">
      <x:c r="A369" t="n">
        <x:v>368</x:v>
      </x:c>
      <x:c r="B369" s="12" t="n">
        <x:v>46084</x:v>
      </x:c>
      <x:c r="C369" t="str">
        <x:v>Mar 3</x:v>
      </x:c>
      <x:c r="D369" t="n">
        <x:v>14</x:v>
      </x:c>
      <x:c r="E369" t="n">
        <x:v>9</x:v>
      </x:c>
      <x:c r="F369" s="14" t="n">
        <x:v>5</x:v>
      </x:c>
      <x:c r="G369" t="str">
        <x:v>3mo ago</x:v>
      </x:c>
      <x:c r="H369" t="str">
        <x:v>Competitive</x:v>
      </x:c>
      <x:c r="I369" t="str">
        <x:v>Domination</x:v>
      </x:c>
      <x:c r="J369" t="str">
        <x:v>Hell's Heaven</x:v>
      </x:c>
      <x:c r="K369" t="str">
        <x:v>The Thing</x:v>
      </x:c>
      <x:c r="L369" t="str">
        <x:v>Loss</x:v>
      </x:c>
      <x:c r="M369" t="str"/>
      <x:c r="N369" t="n">
        <x:v>1</x:v>
      </x:c>
      <x:c r="O369" t="n">
        <x:v>2</x:v>
      </x:c>
      <x:c r="P369" t="str">
        <x:v>Grandmaster III</x:v>
      </x:c>
      <x:c r="Q369" t="n">
        <x:v>4472</x:v>
      </x:c>
      <x:c r="R369" s="14" t="n">
        <x:v>-19</x:v>
      </x:c>
      <x:c r="S369" t="n">
        <x:v>18</x:v>
      </x:c>
      <x:c r="T369" t="n">
        <x:v>14</x:v>
      </x:c>
      <x:c r="U369" t="n">
        <x:v>3</x:v>
      </x:c>
      <x:c r="V369" s="16" t="n">
        <x:v>1.5</x:v>
      </x:c>
      <x:c r="W369" t="str">
        <x:v>Parsed from Tracker.gg MHTML/PDF export; competitive rows only.</x:v>
      </x:c>
      <x:c r="X369" t="n">
        <x:f>IF(L369="Win",1,0)</x:f>
        <x:v>0</x:v>
      </x:c>
      <x:c r="Y369" s="14" t="n">
        <x:f>IF(L369="Loss",1,0)</x:f>
        <x:v>1</x:v>
      </x:c>
      <x:c r="Z369" t="n">
        <x:f>IF(L369="Draw/Unknown",1,0)</x:f>
        <x:v>0</x:v>
      </x:c>
      <x:c r="AA369" s="16" t="n">
        <x:f>IF(OR(N369="",O369=""),"",N369-O369)</x:f>
        <x:v>-1</x:v>
      </x:c>
      <x:c r="AB369" s="16" t="n">
        <x:f>IF(T369=0,S369+U369,(S369+U369)/T369)</x:f>
        <x:v>1.5</x:v>
      </x:c>
      <x:c r="AC369" t="n">
        <x:f>S369+U369</x:f>
        <x:v>21</x:v>
      </x:c>
      <x:c r="AD369" t="n">
        <x:f>IF(T369=0,1,0)</x:f>
        <x:v>0</x:v>
      </x:c>
      <x:c r="AE369" t="str">
        <x:f>IF(R369&gt;0,"Gain",IF(R369&lt;0,"Loss","Neutral"))</x:f>
        <x:v>Loss</x:v>
      </x:c>
    </x:row>
    <x:row r="370">
      <x:c r="A370" t="n">
        <x:v>369</x:v>
      </x:c>
      <x:c r="B370" s="12" t="n">
        <x:v>46084</x:v>
      </x:c>
      <x:c r="C370" t="str">
        <x:v>Mar 3</x:v>
      </x:c>
      <x:c r="D370" t="n">
        <x:v>14</x:v>
      </x:c>
      <x:c r="E370" t="n">
        <x:v>9</x:v>
      </x:c>
      <x:c r="F370" s="14" t="n">
        <x:v>5</x:v>
      </x:c>
      <x:c r="G370" t="str">
        <x:v>3mo ago</x:v>
      </x:c>
      <x:c r="H370" t="str">
        <x:v>Competitive</x:v>
      </x:c>
      <x:c r="I370" t="str">
        <x:v>Domination</x:v>
      </x:c>
      <x:c r="J370" t="str">
        <x:v>Krakoa</x:v>
      </x:c>
      <x:c r="K370" t="str">
        <x:v>The Thing</x:v>
      </x:c>
      <x:c r="L370" t="str">
        <x:v>Loss</x:v>
      </x:c>
      <x:c r="M370" t="str"/>
      <x:c r="N370" t="n">
        <x:v>0</x:v>
      </x:c>
      <x:c r="O370" t="n">
        <x:v>2</x:v>
      </x:c>
      <x:c r="P370" t="str">
        <x:v>Grandmaster III</x:v>
      </x:c>
      <x:c r="Q370" t="n">
        <x:v>4490</x:v>
      </x:c>
      <x:c r="R370" s="14" t="n">
        <x:v>-22</x:v>
      </x:c>
      <x:c r="S370" t="n">
        <x:v>13</x:v>
      </x:c>
      <x:c r="T370" t="n">
        <x:v>7</x:v>
      </x:c>
      <x:c r="U370" t="n">
        <x:v>8</x:v>
      </x:c>
      <x:c r="V370" s="16" t="n">
        <x:v>3</x:v>
      </x:c>
      <x:c r="W370" t="str">
        <x:v>Parsed from Tracker.gg MHTML/PDF export; competitive rows only.</x:v>
      </x:c>
      <x:c r="X370" t="n">
        <x:f>IF(L370="Win",1,0)</x:f>
        <x:v>0</x:v>
      </x:c>
      <x:c r="Y370" s="14" t="n">
        <x:f>IF(L370="Loss",1,0)</x:f>
        <x:v>1</x:v>
      </x:c>
      <x:c r="Z370" t="n">
        <x:f>IF(L370="Draw/Unknown",1,0)</x:f>
        <x:v>0</x:v>
      </x:c>
      <x:c r="AA370" s="16" t="str">
        <x:f>IF(OR(N370="",O370=""),"",N370-O370)</x:f>
      </x:c>
      <x:c r="AB370" s="16" t="n">
        <x:f>IF(T370=0,S370+U370,(S370+U370)/T370)</x:f>
        <x:v>3</x:v>
      </x:c>
      <x:c r="AC370" t="n">
        <x:f>S370+U370</x:f>
        <x:v>21</x:v>
      </x:c>
      <x:c r="AD370" t="n">
        <x:f>IF(T370=0,1,0)</x:f>
        <x:v>0</x:v>
      </x:c>
      <x:c r="AE370" t="str">
        <x:f>IF(R370&gt;0,"Gain",IF(R370&lt;0,"Loss","Neutral"))</x:f>
        <x:v>Loss</x:v>
      </x:c>
    </x:row>
    <x:row r="371">
      <x:c r="A371" t="n">
        <x:v>370</x:v>
      </x:c>
      <x:c r="B371" s="12" t="n">
        <x:v>46084</x:v>
      </x:c>
      <x:c r="C371" t="str">
        <x:v>Mar 3</x:v>
      </x:c>
      <x:c r="D371" t="n">
        <x:v>14</x:v>
      </x:c>
      <x:c r="E371" t="n">
        <x:v>9</x:v>
      </x:c>
      <x:c r="F371" s="14" t="n">
        <x:v>5</x:v>
      </x:c>
      <x:c r="G371" t="str">
        <x:v>3mo ago</x:v>
      </x:c>
      <x:c r="H371" t="str">
        <x:v>Competitive</x:v>
      </x:c>
      <x:c r="I371" t="str">
        <x:v>Convoy</x:v>
      </x:c>
      <x:c r="J371" t="str">
        <x:v>Midtown</x:v>
      </x:c>
      <x:c r="K371" t="str">
        <x:v>The Thing</x:v>
      </x:c>
      <x:c r="L371" t="str">
        <x:v>Win</x:v>
      </x:c>
      <x:c r="M371" t="str"/>
      <x:c r="N371" t="n">
        <x:v>3</x:v>
      </x:c>
      <x:c r="O371" t="n">
        <x:v>0</x:v>
      </x:c>
      <x:c r="P371" t="str">
        <x:v>Grandmaster III</x:v>
      </x:c>
      <x:c r="Q371" t="n">
        <x:v>4512</x:v>
      </x:c>
      <x:c r="R371" s="14" t="n">
        <x:v>23</x:v>
      </x:c>
      <x:c r="S371" t="n">
        <x:v>18</x:v>
      </x:c>
      <x:c r="T371" t="n">
        <x:v>5</x:v>
      </x:c>
      <x:c r="U371" t="n">
        <x:v>9</x:v>
      </x:c>
      <x:c r="V371" s="16" t="n">
        <x:v>5.4</x:v>
      </x:c>
      <x:c r="W371" t="str">
        <x:v>Parsed from Tracker.gg MHTML/PDF export; competitive rows only.</x:v>
      </x:c>
      <x:c r="X371" t="n">
        <x:f>IF(L371="Win",1,0)</x:f>
        <x:v>1</x:v>
      </x:c>
      <x:c r="Y371" s="14" t="n">
        <x:f>IF(L371="Loss",1,0)</x:f>
        <x:v>0</x:v>
      </x:c>
      <x:c r="Z371" t="n">
        <x:f>IF(L371="Draw/Unknown",1,0)</x:f>
        <x:v>0</x:v>
      </x:c>
      <x:c r="AA371" s="16" t="str">
        <x:f>IF(OR(N371="",O371=""),"",N371-O371)</x:f>
      </x:c>
      <x:c r="AB371" s="16" t="n">
        <x:f>IF(T371=0,S371+U371,(S371+U371)/T371)</x:f>
        <x:v>5.4</x:v>
      </x:c>
      <x:c r="AC371" t="n">
        <x:f>S371+U371</x:f>
        <x:v>27</x:v>
      </x:c>
      <x:c r="AD371" t="n">
        <x:f>IF(T371=0,1,0)</x:f>
        <x:v>0</x:v>
      </x:c>
      <x:c r="AE371" t="str">
        <x:f>IF(R371&gt;0,"Gain",IF(R371&lt;0,"Loss","Neutral"))</x:f>
        <x:v>Gain</x:v>
      </x:c>
    </x:row>
    <x:row r="372">
      <x:c r="A372" t="n">
        <x:v>371</x:v>
      </x:c>
      <x:c r="B372" s="12" t="n">
        <x:v>46084</x:v>
      </x:c>
      <x:c r="C372" t="str">
        <x:v>Mar 3</x:v>
      </x:c>
      <x:c r="D372" t="n">
        <x:v>14</x:v>
      </x:c>
      <x:c r="E372" t="n">
        <x:v>9</x:v>
      </x:c>
      <x:c r="F372" s="14" t="n">
        <x:v>5</x:v>
      </x:c>
      <x:c r="G372" t="str">
        <x:v>3mo ago</x:v>
      </x:c>
      <x:c r="H372" t="str">
        <x:v>Competitive</x:v>
      </x:c>
      <x:c r="I372" t="str">
        <x:v>Convergence</x:v>
      </x:c>
      <x:c r="J372" t="str">
        <x:v>Central Park</x:v>
      </x:c>
      <x:c r="K372" t="str">
        <x:v>The Thing</x:v>
      </x:c>
      <x:c r="L372" t="str">
        <x:v>Win</x:v>
      </x:c>
      <x:c r="M372" t="str"/>
      <x:c r="N372" t="n">
        <x:v>3</x:v>
      </x:c>
      <x:c r="O372" t="n">
        <x:v>0</x:v>
      </x:c>
      <x:c r="P372" t="str">
        <x:v>Diamond I</x:v>
      </x:c>
      <x:c r="Q372" t="n">
        <x:v>4488</x:v>
      </x:c>
      <x:c r="R372" s="14" t="n">
        <x:v>22</x:v>
      </x:c>
      <x:c r="S372" t="n">
        <x:v>36</x:v>
      </x:c>
      <x:c r="T372" t="n">
        <x:v>4</x:v>
      </x:c>
      <x:c r="U372" t="n">
        <x:v>21</x:v>
      </x:c>
      <x:c r="V372" s="16" t="n">
        <x:v>14.25</x:v>
      </x:c>
      <x:c r="W372" t="str">
        <x:v>Parsed from Tracker.gg MHTML/PDF export; competitive rows only.</x:v>
      </x:c>
      <x:c r="X372" t="n">
        <x:f>IF(L372="Win",1,0)</x:f>
        <x:v>1</x:v>
      </x:c>
      <x:c r="Y372" s="14" t="n">
        <x:f>IF(L372="Loss",1,0)</x:f>
        <x:v>0</x:v>
      </x:c>
      <x:c r="Z372" t="n">
        <x:f>IF(L372="Draw/Unknown",1,0)</x:f>
        <x:v>0</x:v>
      </x:c>
      <x:c r="AA372" s="16" t="str">
        <x:f>IF(OR(N372="",O372=""),"",N372-O372)</x:f>
      </x:c>
      <x:c r="AB372" s="16" t="n">
        <x:f>IF(T372=0,S372+U372,(S372+U372)/T372)</x:f>
        <x:v>14.25</x:v>
      </x:c>
      <x:c r="AC372" t="n">
        <x:f>S372+U372</x:f>
        <x:v>57</x:v>
      </x:c>
      <x:c r="AD372" t="n">
        <x:f>IF(T372=0,1,0)</x:f>
        <x:v>0</x:v>
      </x:c>
      <x:c r="AE372" t="str">
        <x:f>IF(R372&gt;0,"Gain",IF(R372&lt;0,"Loss","Neutral"))</x:f>
        <x:v>Gain</x:v>
      </x:c>
    </x:row>
    <x:row r="373">
      <x:c r="A373" t="n">
        <x:v>372</x:v>
      </x:c>
      <x:c r="B373" s="12" t="n">
        <x:v>46084</x:v>
      </x:c>
      <x:c r="C373" t="str">
        <x:v>Mar 3</x:v>
      </x:c>
      <x:c r="D373" t="n">
        <x:v>14</x:v>
      </x:c>
      <x:c r="E373" t="n">
        <x:v>9</x:v>
      </x:c>
      <x:c r="F373" s="14" t="n">
        <x:v>5</x:v>
      </x:c>
      <x:c r="G373" t="str">
        <x:v>3mo ago</x:v>
      </x:c>
      <x:c r="H373" t="str">
        <x:v>Competitive</x:v>
      </x:c>
      <x:c r="I373" t="str">
        <x:v>Domination</x:v>
      </x:c>
      <x:c r="J373" t="str">
        <x:v>Hell's Heaven</x:v>
      </x:c>
      <x:c r="K373" t="str">
        <x:v>The Thing</x:v>
      </x:c>
      <x:c r="L373" t="str">
        <x:v>Win</x:v>
      </x:c>
      <x:c r="M373" t="str"/>
      <x:c r="N373" t="n">
        <x:v>2</x:v>
      </x:c>
      <x:c r="O373" t="n">
        <x:v>1</x:v>
      </x:c>
      <x:c r="P373" t="str">
        <x:v>Diamond I</x:v>
      </x:c>
      <x:c r="Q373" t="n">
        <x:v>4466</x:v>
      </x:c>
      <x:c r="R373" s="14" t="n">
        <x:v>22</x:v>
      </x:c>
      <x:c r="S373" t="n">
        <x:v>30</x:v>
      </x:c>
      <x:c r="T373" t="n">
        <x:v>9</x:v>
      </x:c>
      <x:c r="U373" t="n">
        <x:v>10</x:v>
      </x:c>
      <x:c r="V373" s="16" t="n">
        <x:v>4.44</x:v>
      </x:c>
      <x:c r="W373" t="str">
        <x:v>Parsed from Tracker.gg MHTML/PDF export; competitive rows only.</x:v>
      </x:c>
      <x:c r="X373" t="n">
        <x:f>IF(L373="Win",1,0)</x:f>
        <x:v>1</x:v>
      </x:c>
      <x:c r="Y373" s="14" t="n">
        <x:f>IF(L373="Loss",1,0)</x:f>
        <x:v>0</x:v>
      </x:c>
      <x:c r="Z373" t="n">
        <x:f>IF(L373="Draw/Unknown",1,0)</x:f>
        <x:v>0</x:v>
      </x:c>
      <x:c r="AA373" s="16" t="n">
        <x:f>IF(OR(N373="",O373=""),"",N373-O373)</x:f>
        <x:v>1</x:v>
      </x:c>
      <x:c r="AB373" s="16" t="n">
        <x:f>IF(T373=0,S373+U373,(S373+U373)/T373)</x:f>
        <x:v>4.444444444444445</x:v>
      </x:c>
      <x:c r="AC373" t="n">
        <x:f>S373+U373</x:f>
        <x:v>40</x:v>
      </x:c>
      <x:c r="AD373" t="n">
        <x:f>IF(T373=0,1,0)</x:f>
        <x:v>0</x:v>
      </x:c>
      <x:c r="AE373" t="str">
        <x:f>IF(R373&gt;0,"Gain",IF(R373&lt;0,"Loss","Neutral"))</x:f>
        <x:v>Gain</x:v>
      </x:c>
    </x:row>
    <x:row r="374">
      <x:c r="A374" t="n">
        <x:v>373</x:v>
      </x:c>
      <x:c r="B374" s="12" t="n">
        <x:v>46084</x:v>
      </x:c>
      <x:c r="C374" t="str">
        <x:v>Mar 3</x:v>
      </x:c>
      <x:c r="D374" t="n">
        <x:v>14</x:v>
      </x:c>
      <x:c r="E374" t="n">
        <x:v>9</x:v>
      </x:c>
      <x:c r="F374" s="14" t="n">
        <x:v>5</x:v>
      </x:c>
      <x:c r="G374" t="str">
        <x:v>3mo ago</x:v>
      </x:c>
      <x:c r="H374" t="str">
        <x:v>Competitive</x:v>
      </x:c>
      <x:c r="I374" t="str">
        <x:v>Convergence</x:v>
      </x:c>
      <x:c r="J374" t="str">
        <x:v>Hall Of Djalia</x:v>
      </x:c>
      <x:c r="K374" t="str">
        <x:v>Groot</x:v>
      </x:c>
      <x:c r="L374" t="str">
        <x:v>Loss</x:v>
      </x:c>
      <x:c r="M374" t="str">
        <x:v>SVP</x:v>
      </x:c>
      <x:c r="N374" t="n">
        <x:v>3</x:v>
      </x:c>
      <x:c r="O374" t="n">
        <x:v>0</x:v>
      </x:c>
      <x:c r="P374" t="str">
        <x:v>Diamond I</x:v>
      </x:c>
      <x:c r="Q374" t="n">
        <x:v>4443</x:v>
      </x:c>
      <x:c r="R374" s="14" t="n">
        <x:v>-19</x:v>
      </x:c>
      <x:c r="S374" t="n">
        <x:v>17</x:v>
      </x:c>
      <x:c r="T374" t="n">
        <x:v>10</x:v>
      </x:c>
      <x:c r="U374" t="n">
        <x:v>1</x:v>
      </x:c>
      <x:c r="V374" s="16" t="n">
        <x:v>1.8</x:v>
      </x:c>
      <x:c r="W374" t="str">
        <x:v>Parsed from Tracker.gg MHTML/PDF export; competitive rows only.</x:v>
      </x:c>
      <x:c r="X374" t="n">
        <x:f>IF(L374="Win",1,0)</x:f>
        <x:v>0</x:v>
      </x:c>
      <x:c r="Y374" s="14" t="n">
        <x:f>IF(L374="Loss",1,0)</x:f>
        <x:v>1</x:v>
      </x:c>
      <x:c r="Z374" t="n">
        <x:f>IF(L374="Draw/Unknown",1,0)</x:f>
        <x:v>0</x:v>
      </x:c>
      <x:c r="AA374" s="16" t="str">
        <x:f>IF(OR(N374="",O374=""),"",N374-O374)</x:f>
      </x:c>
      <x:c r="AB374" s="16" t="n">
        <x:f>IF(T374=0,S374+U374,(S374+U374)/T374)</x:f>
        <x:v>1.8</x:v>
      </x:c>
      <x:c r="AC374" t="n">
        <x:f>S374+U374</x:f>
        <x:v>18</x:v>
      </x:c>
      <x:c r="AD374" t="n">
        <x:f>IF(T374=0,1,0)</x:f>
        <x:v>0</x:v>
      </x:c>
      <x:c r="AE374" t="str">
        <x:f>IF(R374&gt;0,"Gain",IF(R374&lt;0,"Loss","Neutral"))</x:f>
        <x:v>Loss</x:v>
      </x:c>
    </x:row>
    <x:row r="375">
      <x:c r="A375" t="n">
        <x:v>374</x:v>
      </x:c>
      <x:c r="B375" s="12" t="n">
        <x:v>46083</x:v>
      </x:c>
      <x:c r="C375" t="str">
        <x:v>Mar 2</x:v>
      </x:c>
      <x:c r="D375" t="n">
        <x:v>6</x:v>
      </x:c>
      <x:c r="E375" t="n">
        <x:v>0</x:v>
      </x:c>
      <x:c r="F375" s="14" t="n">
        <x:v>6</x:v>
      </x:c>
      <x:c r="G375" t="str">
        <x:v>3mo ago</x:v>
      </x:c>
      <x:c r="H375" t="str">
        <x:v>Competitive</x:v>
      </x:c>
      <x:c r="I375" t="str">
        <x:v>Convergence</x:v>
      </x:c>
      <x:c r="J375" t="str">
        <x:v>Symbiotic Surface</x:v>
      </x:c>
      <x:c r="K375" t="str">
        <x:v>The Thing</x:v>
      </x:c>
      <x:c r="L375" t="str">
        <x:v>Loss</x:v>
      </x:c>
      <x:c r="M375" t="str"/>
      <x:c r="N375" t="n">
        <x:v>1</x:v>
      </x:c>
      <x:c r="O375" t="n">
        <x:v>2</x:v>
      </x:c>
      <x:c r="P375" t="str">
        <x:v>Diamond I</x:v>
      </x:c>
      <x:c r="Q375" t="n">
        <x:v>4461</x:v>
      </x:c>
      <x:c r="R375" s="14" t="n">
        <x:v>-20</x:v>
      </x:c>
      <x:c r="S375" t="n">
        <x:v>23</x:v>
      </x:c>
      <x:c r="T375" t="n">
        <x:v>11</x:v>
      </x:c>
      <x:c r="U375" t="n">
        <x:v>13</x:v>
      </x:c>
      <x:c r="V375" s="16" t="n">
        <x:v>3.27</x:v>
      </x:c>
      <x:c r="W375" t="str">
        <x:v>Parsed from Tracker.gg MHTML/PDF export; competitive rows only.</x:v>
      </x:c>
      <x:c r="X375" t="n">
        <x:f>IF(L375="Win",1,0)</x:f>
        <x:v>0</x:v>
      </x:c>
      <x:c r="Y375" s="14" t="n">
        <x:f>IF(L375="Loss",1,0)</x:f>
        <x:v>1</x:v>
      </x:c>
      <x:c r="Z375" t="n">
        <x:f>IF(L375="Draw/Unknown",1,0)</x:f>
        <x:v>0</x:v>
      </x:c>
      <x:c r="AA375" s="16" t="n">
        <x:f>IF(OR(N375="",O375=""),"",N375-O375)</x:f>
        <x:v>-1</x:v>
      </x:c>
      <x:c r="AB375" s="16" t="n">
        <x:f>IF(T375=0,S375+U375,(S375+U375)/T375)</x:f>
        <x:v>3.272727272727273</x:v>
      </x:c>
      <x:c r="AC375" t="n">
        <x:f>S375+U375</x:f>
        <x:v>36</x:v>
      </x:c>
      <x:c r="AD375" t="n">
        <x:f>IF(T375=0,1,0)</x:f>
        <x:v>0</x:v>
      </x:c>
      <x:c r="AE375" t="str">
        <x:f>IF(R375&gt;0,"Gain",IF(R375&lt;0,"Loss","Neutral"))</x:f>
        <x:v>Loss</x:v>
      </x:c>
    </x:row>
    <x:row r="376">
      <x:c r="A376" t="n">
        <x:v>375</x:v>
      </x:c>
      <x:c r="B376" s="12" t="n">
        <x:v>46083</x:v>
      </x:c>
      <x:c r="C376" t="str">
        <x:v>Mar 2</x:v>
      </x:c>
      <x:c r="D376" t="n">
        <x:v>6</x:v>
      </x:c>
      <x:c r="E376" t="n">
        <x:v>0</x:v>
      </x:c>
      <x:c r="F376" s="14" t="n">
        <x:v>6</x:v>
      </x:c>
      <x:c r="G376" t="str">
        <x:v>3mo ago</x:v>
      </x:c>
      <x:c r="H376" t="str">
        <x:v>Competitive</x:v>
      </x:c>
      <x:c r="I376" t="str">
        <x:v>Convoy</x:v>
      </x:c>
      <x:c r="J376" t="str">
        <x:v>Spider-Islands</x:v>
      </x:c>
      <x:c r="K376" t="str">
        <x:v>The Thing</x:v>
      </x:c>
      <x:c r="L376" t="str">
        <x:v>Loss</x:v>
      </x:c>
      <x:c r="M376" t="str"/>
      <x:c r="N376" t="n">
        <x:v>2</x:v>
      </x:c>
      <x:c r="O376" t="n">
        <x:v>1</x:v>
      </x:c>
      <x:c r="P376" t="str">
        <x:v>Grandmaster III</x:v>
      </x:c>
      <x:c r="Q376" t="n">
        <x:v>4481</x:v>
      </x:c>
      <x:c r="R376" s="14" t="n">
        <x:v>-21</x:v>
      </x:c>
      <x:c r="S376" t="n">
        <x:v>26</x:v>
      </x:c>
      <x:c r="T376" t="n">
        <x:v>11</x:v>
      </x:c>
      <x:c r="U376" t="n">
        <x:v>13</x:v>
      </x:c>
      <x:c r="V376" s="16" t="n">
        <x:v>3.55</x:v>
      </x:c>
      <x:c r="W376" t="str">
        <x:v>Parsed from Tracker.gg MHTML/PDF export; competitive rows only.</x:v>
      </x:c>
      <x:c r="X376" t="n">
        <x:f>IF(L376="Win",1,0)</x:f>
        <x:v>0</x:v>
      </x:c>
      <x:c r="Y376" s="14" t="n">
        <x:f>IF(L376="Loss",1,0)</x:f>
        <x:v>1</x:v>
      </x:c>
      <x:c r="Z376" t="n">
        <x:f>IF(L376="Draw/Unknown",1,0)</x:f>
        <x:v>0</x:v>
      </x:c>
      <x:c r="AA376" s="16" t="n">
        <x:f>IF(OR(N376="",O376=""),"",N376-O376)</x:f>
        <x:v>1</x:v>
      </x:c>
      <x:c r="AB376" s="16" t="n">
        <x:f>IF(T376=0,S376+U376,(S376+U376)/T376)</x:f>
        <x:v>3.5454545454545454</x:v>
      </x:c>
      <x:c r="AC376" t="n">
        <x:f>S376+U376</x:f>
        <x:v>39</x:v>
      </x:c>
      <x:c r="AD376" t="n">
        <x:f>IF(T376=0,1,0)</x:f>
        <x:v>0</x:v>
      </x:c>
      <x:c r="AE376" t="str">
        <x:f>IF(R376&gt;0,"Gain",IF(R376&lt;0,"Loss","Neutral"))</x:f>
        <x:v>Loss</x:v>
      </x:c>
    </x:row>
    <x:row r="377">
      <x:c r="A377" t="n">
        <x:v>376</x:v>
      </x:c>
      <x:c r="B377" s="12" t="n">
        <x:v>46083</x:v>
      </x:c>
      <x:c r="C377" t="str">
        <x:v>Mar 2</x:v>
      </x:c>
      <x:c r="D377" t="n">
        <x:v>6</x:v>
      </x:c>
      <x:c r="E377" t="n">
        <x:v>0</x:v>
      </x:c>
      <x:c r="F377" s="14" t="n">
        <x:v>6</x:v>
      </x:c>
      <x:c r="G377" t="str">
        <x:v>3mo ago</x:v>
      </x:c>
      <x:c r="H377" t="str">
        <x:v>Competitive</x:v>
      </x:c>
      <x:c r="I377" t="str">
        <x:v>Convergence</x:v>
      </x:c>
      <x:c r="J377" t="str">
        <x:v>Heart Of Heaven</x:v>
      </x:c>
      <x:c r="K377" t="str">
        <x:v>Groot</x:v>
      </x:c>
      <x:c r="L377" t="str">
        <x:v>Loss</x:v>
      </x:c>
      <x:c r="M377" t="str"/>
      <x:c r="N377" t="n">
        <x:v>2</x:v>
      </x:c>
      <x:c r="O377" t="n">
        <x:v>3</x:v>
      </x:c>
      <x:c r="P377" t="str">
        <x:v>Grandmaster III</x:v>
      </x:c>
      <x:c r="Q377" t="n">
        <x:v>4501</x:v>
      </x:c>
      <x:c r="R377" s="14" t="n">
        <x:v>-21</x:v>
      </x:c>
      <x:c r="S377" t="n">
        <x:v>22</x:v>
      </x:c>
      <x:c r="T377" t="n">
        <x:v>16</x:v>
      </x:c>
      <x:c r="U377" t="n">
        <x:v>2</x:v>
      </x:c>
      <x:c r="V377" s="16" t="n">
        <x:v>1.5</x:v>
      </x:c>
      <x:c r="W377" t="str">
        <x:v>Parsed from Tracker.gg MHTML/PDF export; competitive rows only.</x:v>
      </x:c>
      <x:c r="X377" t="n">
        <x:f>IF(L377="Win",1,0)</x:f>
        <x:v>0</x:v>
      </x:c>
      <x:c r="Y377" s="14" t="n">
        <x:f>IF(L377="Loss",1,0)</x:f>
        <x:v>1</x:v>
      </x:c>
      <x:c r="Z377" t="n">
        <x:f>IF(L377="Draw/Unknown",1,0)</x:f>
        <x:v>0</x:v>
      </x:c>
      <x:c r="AA377" s="16" t="n">
        <x:f>IF(OR(N377="",O377=""),"",N377-O377)</x:f>
        <x:v>-1</x:v>
      </x:c>
      <x:c r="AB377" s="16" t="n">
        <x:f>IF(T377=0,S377+U377,(S377+U377)/T377)</x:f>
        <x:v>1.5</x:v>
      </x:c>
      <x:c r="AC377" t="n">
        <x:f>S377+U377</x:f>
        <x:v>24</x:v>
      </x:c>
      <x:c r="AD377" t="n">
        <x:f>IF(T377=0,1,0)</x:f>
        <x:v>0</x:v>
      </x:c>
      <x:c r="AE377" t="str">
        <x:f>IF(R377&gt;0,"Gain",IF(R377&lt;0,"Loss","Neutral"))</x:f>
        <x:v>Loss</x:v>
      </x:c>
    </x:row>
    <x:row r="378">
      <x:c r="A378" t="n">
        <x:v>377</x:v>
      </x:c>
      <x:c r="B378" s="12" t="n">
        <x:v>46083</x:v>
      </x:c>
      <x:c r="C378" t="str">
        <x:v>Mar 2</x:v>
      </x:c>
      <x:c r="D378" t="n">
        <x:v>6</x:v>
      </x:c>
      <x:c r="E378" t="n">
        <x:v>0</x:v>
      </x:c>
      <x:c r="F378" s="14" t="n">
        <x:v>6</x:v>
      </x:c>
      <x:c r="G378" t="str">
        <x:v>3mo ago</x:v>
      </x:c>
      <x:c r="H378" t="str">
        <x:v>Competitive</x:v>
      </x:c>
      <x:c r="I378" t="str">
        <x:v>Convergence</x:v>
      </x:c>
      <x:c r="J378" t="str">
        <x:v>Hall Of Djalia</x:v>
      </x:c>
      <x:c r="K378" t="str">
        <x:v>The Thing</x:v>
      </x:c>
      <x:c r="L378" t="str">
        <x:v>Loss</x:v>
      </x:c>
      <x:c r="M378" t="str"/>
      <x:c r="N378" t="n">
        <x:v>0</x:v>
      </x:c>
      <x:c r="O378" t="n">
        <x:v>1</x:v>
      </x:c>
      <x:c r="P378" t="str">
        <x:v>Grandmaster III</x:v>
      </x:c>
      <x:c r="Q378" t="n">
        <x:v>4522</x:v>
      </x:c>
      <x:c r="R378" s="14" t="n">
        <x:v>-23</x:v>
      </x:c>
      <x:c r="S378" t="n">
        <x:v>0</x:v>
      </x:c>
      <x:c r="T378" t="n">
        <x:v>7</x:v>
      </x:c>
      <x:c r="U378" t="n">
        <x:v>0</x:v>
      </x:c>
      <x:c r="V378" s="16" t="n">
        <x:v>0</x:v>
      </x:c>
      <x:c r="W378" t="str">
        <x:v>Parsed from Tracker.gg MHTML/PDF export; competitive rows only.</x:v>
      </x:c>
      <x:c r="X378" t="n">
        <x:f>IF(L378="Win",1,0)</x:f>
        <x:v>0</x:v>
      </x:c>
      <x:c r="Y378" s="14" t="n">
        <x:f>IF(L378="Loss",1,0)</x:f>
        <x:v>1</x:v>
      </x:c>
      <x:c r="Z378" t="n">
        <x:f>IF(L378="Draw/Unknown",1,0)</x:f>
        <x:v>0</x:v>
      </x:c>
      <x:c r="AA378" s="16" t="str">
        <x:f>IF(OR(N378="",O378=""),"",N378-O378)</x:f>
      </x:c>
      <x:c r="AB378" s="16" t="n">
        <x:f>IF(T378=0,S378+U378,(S378+U378)/T378)</x:f>
        <x:v>0</x:v>
      </x:c>
      <x:c r="AC378" t="n">
        <x:f>S378+U378</x:f>
        <x:v>0</x:v>
      </x:c>
      <x:c r="AD378" t="n">
        <x:f>IF(T378=0,1,0)</x:f>
        <x:v>0</x:v>
      </x:c>
      <x:c r="AE378" t="str">
        <x:f>IF(R378&gt;0,"Gain",IF(R378&lt;0,"Loss","Neutral"))</x:f>
        <x:v>Loss</x:v>
      </x:c>
    </x:row>
    <x:row r="379">
      <x:c r="A379" t="n">
        <x:v>378</x:v>
      </x:c>
      <x:c r="B379" s="12" t="n">
        <x:v>46078</x:v>
      </x:c>
      <x:c r="C379" t="str">
        <x:v>Feb 25</x:v>
      </x:c>
      <x:c r="D379" t="n">
        <x:v>16</x:v>
      </x:c>
      <x:c r="E379" t="n">
        <x:v>12</x:v>
      </x:c>
      <x:c r="F379" s="14" t="n">
        <x:v>4</x:v>
      </x:c>
      <x:c r="G379" t="str">
        <x:v>3mo ago</x:v>
      </x:c>
      <x:c r="H379" t="str">
        <x:v>Competitive</x:v>
      </x:c>
      <x:c r="I379" t="str">
        <x:v>Domination</x:v>
      </x:c>
      <x:c r="J379" t="str">
        <x:v>Birnin T'Challa</x:v>
      </x:c>
      <x:c r="K379" t="str">
        <x:v>The Thing</x:v>
      </x:c>
      <x:c r="L379" t="str">
        <x:v>Win</x:v>
      </x:c>
      <x:c r="M379" t="str"/>
      <x:c r="N379" t="n">
        <x:v>0</x:v>
      </x:c>
      <x:c r="O379" t="n">
        <x:v>2</x:v>
      </x:c>
      <x:c r="P379" t="str">
        <x:v>Grandmaster III</x:v>
      </x:c>
      <x:c r="Q379" t="n">
        <x:v>4544</x:v>
      </x:c>
      <x:c r="R379" s="14" t="n">
        <x:v>23</x:v>
      </x:c>
      <x:c r="S379" t="n">
        <x:v>22</x:v>
      </x:c>
      <x:c r="T379" t="n">
        <x:v>5</x:v>
      </x:c>
      <x:c r="U379" t="n">
        <x:v>10</x:v>
      </x:c>
      <x:c r="V379" s="16" t="n">
        <x:v>6.4</x:v>
      </x:c>
      <x:c r="W379" t="str">
        <x:v>Parsed from Tracker.gg MHTML/PDF export; competitive rows only.</x:v>
      </x:c>
      <x:c r="X379" t="n">
        <x:f>IF(L379="Win",1,0)</x:f>
        <x:v>1</x:v>
      </x:c>
      <x:c r="Y379" s="14" t="n">
        <x:f>IF(L379="Loss",1,0)</x:f>
        <x:v>0</x:v>
      </x:c>
      <x:c r="Z379" t="n">
        <x:f>IF(L379="Draw/Unknown",1,0)</x:f>
        <x:v>0</x:v>
      </x:c>
      <x:c r="AA379" s="16" t="str">
        <x:f>IF(OR(N379="",O379=""),"",N379-O379)</x:f>
      </x:c>
      <x:c r="AB379" s="16" t="n">
        <x:f>IF(T379=0,S379+U379,(S379+U379)/T379)</x:f>
        <x:v>6.4</x:v>
      </x:c>
      <x:c r="AC379" t="n">
        <x:f>S379+U379</x:f>
        <x:v>32</x:v>
      </x:c>
      <x:c r="AD379" t="n">
        <x:f>IF(T379=0,1,0)</x:f>
        <x:v>0</x:v>
      </x:c>
      <x:c r="AE379" t="str">
        <x:f>IF(R379&gt;0,"Gain",IF(R379&lt;0,"Loss","Neutral"))</x:f>
        <x:v>Gain</x:v>
      </x:c>
    </x:row>
    <x:row r="380">
      <x:c r="A380" t="n">
        <x:v>379</x:v>
      </x:c>
      <x:c r="B380" s="12" t="n">
        <x:v>46078</x:v>
      </x:c>
      <x:c r="C380" t="str">
        <x:v>Feb 25</x:v>
      </x:c>
      <x:c r="D380" t="n">
        <x:v>16</x:v>
      </x:c>
      <x:c r="E380" t="n">
        <x:v>12</x:v>
      </x:c>
      <x:c r="F380" s="14" t="n">
        <x:v>4</x:v>
      </x:c>
      <x:c r="G380" t="str">
        <x:v>3mo ago</x:v>
      </x:c>
      <x:c r="H380" t="str">
        <x:v>Competitive</x:v>
      </x:c>
      <x:c r="I380" t="str">
        <x:v>Convoy</x:v>
      </x:c>
      <x:c r="J380" t="str">
        <x:v>Spider-Islands</x:v>
      </x:c>
      <x:c r="K380" t="str">
        <x:v>The Thing</x:v>
      </x:c>
      <x:c r="L380" t="str">
        <x:v>Loss</x:v>
      </x:c>
      <x:c r="M380" t="str"/>
      <x:c r="N380" t="n">
        <x:v>0</x:v>
      </x:c>
      <x:c r="O380" t="n">
        <x:v>1</x:v>
      </x:c>
      <x:c r="P380" t="str">
        <x:v>Grandmaster III</x:v>
      </x:c>
      <x:c r="Q380" t="n">
        <x:v>4521</x:v>
      </x:c>
      <x:c r="R380" s="14" t="n">
        <x:v>-19</x:v>
      </x:c>
      <x:c r="S380" t="n">
        <x:v>12</x:v>
      </x:c>
      <x:c r="T380" t="n">
        <x:v>10</x:v>
      </x:c>
      <x:c r="U380" t="n">
        <x:v>7</x:v>
      </x:c>
      <x:c r="V380" s="16" t="n">
        <x:v>1.9</x:v>
      </x:c>
      <x:c r="W380" t="str">
        <x:v>Parsed from Tracker.gg MHTML/PDF export; competitive rows only.</x:v>
      </x:c>
      <x:c r="X380" t="n">
        <x:f>IF(L380="Win",1,0)</x:f>
        <x:v>0</x:v>
      </x:c>
      <x:c r="Y380" s="14" t="n">
        <x:f>IF(L380="Loss",1,0)</x:f>
        <x:v>1</x:v>
      </x:c>
      <x:c r="Z380" t="n">
        <x:f>IF(L380="Draw/Unknown",1,0)</x:f>
        <x:v>0</x:v>
      </x:c>
      <x:c r="AA380" s="16" t="str">
        <x:f>IF(OR(N380="",O380=""),"",N380-O380)</x:f>
      </x:c>
      <x:c r="AB380" s="16" t="n">
        <x:f>IF(T380=0,S380+U380,(S380+U380)/T380)</x:f>
        <x:v>1.9</x:v>
      </x:c>
      <x:c r="AC380" t="n">
        <x:f>S380+U380</x:f>
        <x:v>19</x:v>
      </x:c>
      <x:c r="AD380" t="n">
        <x:f>IF(T380=0,1,0)</x:f>
        <x:v>0</x:v>
      </x:c>
      <x:c r="AE380" t="str">
        <x:f>IF(R380&gt;0,"Gain",IF(R380&lt;0,"Loss","Neutral"))</x:f>
        <x:v>Loss</x:v>
      </x:c>
    </x:row>
    <x:row r="381">
      <x:c r="A381" t="n">
        <x:v>380</x:v>
      </x:c>
      <x:c r="B381" s="12" t="n">
        <x:v>46078</x:v>
      </x:c>
      <x:c r="C381" t="str">
        <x:v>Feb 25</x:v>
      </x:c>
      <x:c r="D381" t="n">
        <x:v>16</x:v>
      </x:c>
      <x:c r="E381" t="n">
        <x:v>12</x:v>
      </x:c>
      <x:c r="F381" s="14" t="n">
        <x:v>4</x:v>
      </x:c>
      <x:c r="G381" t="str">
        <x:v>3mo ago</x:v>
      </x:c>
      <x:c r="H381" t="str">
        <x:v>Competitive</x:v>
      </x:c>
      <x:c r="I381" t="str">
        <x:v>Domination</x:v>
      </x:c>
      <x:c r="J381" t="str">
        <x:v>Hell's Heaven</x:v>
      </x:c>
      <x:c r="K381" t="str">
        <x:v>The Thing</x:v>
      </x:c>
      <x:c r="L381" t="str">
        <x:v>Win</x:v>
      </x:c>
      <x:c r="M381" t="str"/>
      <x:c r="N381" t="n">
        <x:v>2</x:v>
      </x:c>
      <x:c r="O381" t="n">
        <x:v>0</x:v>
      </x:c>
      <x:c r="P381" t="str">
        <x:v>Grandmaster III</x:v>
      </x:c>
      <x:c r="Q381" t="n">
        <x:v>4539</x:v>
      </x:c>
      <x:c r="R381" s="14" t="n">
        <x:v>20</x:v>
      </x:c>
      <x:c r="S381" t="n">
        <x:v>15</x:v>
      </x:c>
      <x:c r="T381" t="n">
        <x:v>3</x:v>
      </x:c>
      <x:c r="U381" t="n">
        <x:v>6</x:v>
      </x:c>
      <x:c r="V381" s="16" t="n">
        <x:v>7</x:v>
      </x:c>
      <x:c r="W381" t="str">
        <x:v>Parsed from Tracker.gg MHTML/PDF export; competitive rows only.</x:v>
      </x:c>
      <x:c r="X381" t="n">
        <x:f>IF(L381="Win",1,0)</x:f>
        <x:v>1</x:v>
      </x:c>
      <x:c r="Y381" s="14" t="n">
        <x:f>IF(L381="Loss",1,0)</x:f>
        <x:v>0</x:v>
      </x:c>
      <x:c r="Z381" t="n">
        <x:f>IF(L381="Draw/Unknown",1,0)</x:f>
        <x:v>0</x:v>
      </x:c>
      <x:c r="AA381" s="16" t="str">
        <x:f>IF(OR(N381="",O381=""),"",N381-O381)</x:f>
      </x:c>
      <x:c r="AB381" s="16" t="n">
        <x:f>IF(T381=0,S381+U381,(S381+U381)/T381)</x:f>
        <x:v>7</x:v>
      </x:c>
      <x:c r="AC381" t="n">
        <x:f>S381+U381</x:f>
        <x:v>21</x:v>
      </x:c>
      <x:c r="AD381" t="n">
        <x:f>IF(T381=0,1,0)</x:f>
        <x:v>0</x:v>
      </x:c>
      <x:c r="AE381" t="str">
        <x:f>IF(R381&gt;0,"Gain",IF(R381&lt;0,"Loss","Neutral"))</x:f>
        <x:v>Gain</x:v>
      </x:c>
    </x:row>
    <x:row r="382">
      <x:c r="A382" t="n">
        <x:v>381</x:v>
      </x:c>
      <x:c r="B382" s="12" t="n">
        <x:v>46078</x:v>
      </x:c>
      <x:c r="C382" t="str">
        <x:v>Feb 25</x:v>
      </x:c>
      <x:c r="D382" t="n">
        <x:v>16</x:v>
      </x:c>
      <x:c r="E382" t="n">
        <x:v>12</x:v>
      </x:c>
      <x:c r="F382" s="14" t="n">
        <x:v>4</x:v>
      </x:c>
      <x:c r="G382" t="str">
        <x:v>3mo ago</x:v>
      </x:c>
      <x:c r="H382" t="str">
        <x:v>Competitive</x:v>
      </x:c>
      <x:c r="I382" t="str">
        <x:v>Convoy</x:v>
      </x:c>
      <x:c r="J382" t="str">
        <x:v>Yggdrasill Path</x:v>
      </x:c>
      <x:c r="K382" t="str">
        <x:v>The Thing</x:v>
      </x:c>
      <x:c r="L382" t="str">
        <x:v>Loss</x:v>
      </x:c>
      <x:c r="M382" t="str">
        <x:v>SVP</x:v>
      </x:c>
      <x:c r="N382" t="n">
        <x:v>3</x:v>
      </x:c>
      <x:c r="O382" t="n">
        <x:v>4</x:v>
      </x:c>
      <x:c r="P382" t="str">
        <x:v>Grandmaster III</x:v>
      </x:c>
      <x:c r="Q382" t="n">
        <x:v>4544</x:v>
      </x:c>
      <x:c r="R382" s="14" t="n">
        <x:v>-19</x:v>
      </x:c>
      <x:c r="S382" t="n">
        <x:v>34</x:v>
      </x:c>
      <x:c r="T382" t="n">
        <x:v>17</x:v>
      </x:c>
      <x:c r="U382" t="n">
        <x:v>9</x:v>
      </x:c>
      <x:c r="V382" s="16" t="n">
        <x:v>2.53</x:v>
      </x:c>
      <x:c r="W382" t="str">
        <x:v>Parsed from Tracker.gg MHTML/PDF export; competitive rows only.</x:v>
      </x:c>
      <x:c r="X382" t="n">
        <x:f>IF(L382="Win",1,0)</x:f>
        <x:v>0</x:v>
      </x:c>
      <x:c r="Y382" s="14" t="n">
        <x:f>IF(L382="Loss",1,0)</x:f>
        <x:v>1</x:v>
      </x:c>
      <x:c r="Z382" t="n">
        <x:f>IF(L382="Draw/Unknown",1,0)</x:f>
        <x:v>0</x:v>
      </x:c>
      <x:c r="AA382" s="16" t="n">
        <x:f>IF(OR(N382="",O382=""),"",N382-O382)</x:f>
        <x:v>-1</x:v>
      </x:c>
      <x:c r="AB382" s="16" t="n">
        <x:f>IF(T382=0,S382+U382,(S382+U382)/T382)</x:f>
        <x:v>2.5294117647058822</x:v>
      </x:c>
      <x:c r="AC382" t="n">
        <x:f>S382+U382</x:f>
        <x:v>43</x:v>
      </x:c>
      <x:c r="AD382" t="n">
        <x:f>IF(T382=0,1,0)</x:f>
        <x:v>0</x:v>
      </x:c>
      <x:c r="AE382" t="str">
        <x:f>IF(R382&gt;0,"Gain",IF(R382&lt;0,"Loss","Neutral"))</x:f>
        <x:v>Loss</x:v>
      </x:c>
    </x:row>
    <x:row r="383">
      <x:c r="A383" t="n">
        <x:v>382</x:v>
      </x:c>
      <x:c r="B383" s="12" t="n">
        <x:v>46078</x:v>
      </x:c>
      <x:c r="C383" t="str">
        <x:v>Feb 25</x:v>
      </x:c>
      <x:c r="D383" t="n">
        <x:v>16</x:v>
      </x:c>
      <x:c r="E383" t="n">
        <x:v>12</x:v>
      </x:c>
      <x:c r="F383" s="14" t="n">
        <x:v>4</x:v>
      </x:c>
      <x:c r="G383" t="str">
        <x:v>3mo ago</x:v>
      </x:c>
      <x:c r="H383" t="str">
        <x:v>Competitive</x:v>
      </x:c>
      <x:c r="I383" t="str">
        <x:v>Convergence</x:v>
      </x:c>
      <x:c r="J383" t="str">
        <x:v>Heart Of Heaven</x:v>
      </x:c>
      <x:c r="K383" t="str">
        <x:v>Thor</x:v>
      </x:c>
      <x:c r="L383" t="str">
        <x:v>Win</x:v>
      </x:c>
      <x:c r="M383" t="str"/>
      <x:c r="N383" t="n">
        <x:v>2</x:v>
      </x:c>
      <x:c r="O383" t="n">
        <x:v>1</x:v>
      </x:c>
      <x:c r="P383" t="str">
        <x:v>Grandmaster III</x:v>
      </x:c>
      <x:c r="Q383" t="n">
        <x:v>4563</x:v>
      </x:c>
      <x:c r="R383" s="14" t="n">
        <x:v>20</x:v>
      </x:c>
      <x:c r="S383" t="n">
        <x:v>30</x:v>
      </x:c>
      <x:c r="T383" t="n">
        <x:v>13</x:v>
      </x:c>
      <x:c r="U383" t="n">
        <x:v>18</x:v>
      </x:c>
      <x:c r="V383" s="16" t="n">
        <x:v>3.69</x:v>
      </x:c>
      <x:c r="W383" t="str">
        <x:v>Parsed from Tracker.gg MHTML/PDF export; competitive rows only.</x:v>
      </x:c>
      <x:c r="X383" t="n">
        <x:f>IF(L383="Win",1,0)</x:f>
        <x:v>1</x:v>
      </x:c>
      <x:c r="Y383" s="14" t="n">
        <x:f>IF(L383="Loss",1,0)</x:f>
        <x:v>0</x:v>
      </x:c>
      <x:c r="Z383" t="n">
        <x:f>IF(L383="Draw/Unknown",1,0)</x:f>
        <x:v>0</x:v>
      </x:c>
      <x:c r="AA383" s="16" t="n">
        <x:f>IF(OR(N383="",O383=""),"",N383-O383)</x:f>
        <x:v>1</x:v>
      </x:c>
      <x:c r="AB383" s="16" t="n">
        <x:f>IF(T383=0,S383+U383,(S383+U383)/T383)</x:f>
        <x:v>3.6923076923076925</x:v>
      </x:c>
      <x:c r="AC383" t="n">
        <x:f>S383+U383</x:f>
        <x:v>48</x:v>
      </x:c>
      <x:c r="AD383" t="n">
        <x:f>IF(T383=0,1,0)</x:f>
        <x:v>0</x:v>
      </x:c>
      <x:c r="AE383" t="str">
        <x:f>IF(R383&gt;0,"Gain",IF(R383&lt;0,"Loss","Neutral"))</x:f>
        <x:v>Gain</x:v>
      </x:c>
    </x:row>
    <x:row r="384">
      <x:c r="A384" t="n">
        <x:v>383</x:v>
      </x:c>
      <x:c r="B384" s="12" t="n">
        <x:v>46078</x:v>
      </x:c>
      <x:c r="C384" t="str">
        <x:v>Feb 25</x:v>
      </x:c>
      <x:c r="D384" t="n">
        <x:v>16</x:v>
      </x:c>
      <x:c r="E384" t="n">
        <x:v>12</x:v>
      </x:c>
      <x:c r="F384" s="14" t="n">
        <x:v>4</x:v>
      </x:c>
      <x:c r="G384" t="str">
        <x:v>3mo ago</x:v>
      </x:c>
      <x:c r="H384" t="str">
        <x:v>Competitive</x:v>
      </x:c>
      <x:c r="I384" t="str">
        <x:v>Convoy</x:v>
      </x:c>
      <x:c r="J384" t="str">
        <x:v>Spider-Islands</x:v>
      </x:c>
      <x:c r="K384" t="str">
        <x:v>The Thing</x:v>
      </x:c>
      <x:c r="L384" t="str">
        <x:v>Win</x:v>
      </x:c>
      <x:c r="M384" t="str"/>
      <x:c r="N384" t="n">
        <x:v>3</x:v>
      </x:c>
      <x:c r="O384" t="n">
        <x:v>1</x:v>
      </x:c>
      <x:c r="P384" t="str">
        <x:v>Grandmaster III</x:v>
      </x:c>
      <x:c r="Q384" t="n">
        <x:v>4543</x:v>
      </x:c>
      <x:c r="R384" s="14" t="n">
        <x:v>21</x:v>
      </x:c>
      <x:c r="S384" t="n">
        <x:v>32</x:v>
      </x:c>
      <x:c r="T384" t="n">
        <x:v>6</x:v>
      </x:c>
      <x:c r="U384" t="n">
        <x:v>19</x:v>
      </x:c>
      <x:c r="V384" s="16" t="n">
        <x:v>8.5</x:v>
      </x:c>
      <x:c r="W384" t="str">
        <x:v>Parsed from Tracker.gg MHTML/PDF export; competitive rows only.</x:v>
      </x:c>
      <x:c r="X384" t="n">
        <x:f>IF(L384="Win",1,0)</x:f>
        <x:v>1</x:v>
      </x:c>
      <x:c r="Y384" s="14" t="n">
        <x:f>IF(L384="Loss",1,0)</x:f>
        <x:v>0</x:v>
      </x:c>
      <x:c r="Z384" t="n">
        <x:f>IF(L384="Draw/Unknown",1,0)</x:f>
        <x:v>0</x:v>
      </x:c>
      <x:c r="AA384" s="16" t="n">
        <x:f>IF(OR(N384="",O384=""),"",N384-O384)</x:f>
        <x:v>2</x:v>
      </x:c>
      <x:c r="AB384" s="16" t="n">
        <x:f>IF(T384=0,S384+U384,(S384+U384)/T384)</x:f>
        <x:v>8.5</x:v>
      </x:c>
      <x:c r="AC384" t="n">
        <x:f>S384+U384</x:f>
        <x:v>51</x:v>
      </x:c>
      <x:c r="AD384" t="n">
        <x:f>IF(T384=0,1,0)</x:f>
        <x:v>0</x:v>
      </x:c>
      <x:c r="AE384" t="str">
        <x:f>IF(R384&gt;0,"Gain",IF(R384&lt;0,"Loss","Neutral"))</x:f>
        <x:v>Gain</x:v>
      </x:c>
    </x:row>
    <x:row r="385">
      <x:c r="A385" t="n">
        <x:v>384</x:v>
      </x:c>
      <x:c r="B385" s="12" t="n">
        <x:v>46078</x:v>
      </x:c>
      <x:c r="C385" t="str">
        <x:v>Feb 25</x:v>
      </x:c>
      <x:c r="D385" t="n">
        <x:v>16</x:v>
      </x:c>
      <x:c r="E385" t="n">
        <x:v>12</x:v>
      </x:c>
      <x:c r="F385" s="14" t="n">
        <x:v>4</x:v>
      </x:c>
      <x:c r="G385" t="str">
        <x:v>3mo ago</x:v>
      </x:c>
      <x:c r="H385" t="str">
        <x:v>Competitive</x:v>
      </x:c>
      <x:c r="I385" t="str">
        <x:v>Domination</x:v>
      </x:c>
      <x:c r="J385" t="str">
        <x:v>Celestial Husk</x:v>
      </x:c>
      <x:c r="K385" t="str">
        <x:v>Peni Parker</x:v>
      </x:c>
      <x:c r="L385" t="str">
        <x:v>Win</x:v>
      </x:c>
      <x:c r="M385" t="str"/>
      <x:c r="N385" t="n">
        <x:v>0</x:v>
      </x:c>
      <x:c r="O385" t="n">
        <x:v>2</x:v>
      </x:c>
      <x:c r="P385" t="str">
        <x:v>Grandmaster III</x:v>
      </x:c>
      <x:c r="Q385" t="n">
        <x:v>4521</x:v>
      </x:c>
      <x:c r="R385" s="14" t="n">
        <x:v>20</x:v>
      </x:c>
      <x:c r="S385" t="n">
        <x:v>21</x:v>
      </x:c>
      <x:c r="T385" t="n">
        <x:v>0</x:v>
      </x:c>
      <x:c r="U385" t="n">
        <x:v>19</x:v>
      </x:c>
      <x:c r="V385" s="16" t="n">
        <x:v>40</x:v>
      </x:c>
      <x:c r="W385" t="str">
        <x:v>Parsed from Tracker.gg MHTML/PDF export; competitive rows only.</x:v>
      </x:c>
      <x:c r="X385" t="n">
        <x:f>IF(L385="Win",1,0)</x:f>
        <x:v>1</x:v>
      </x:c>
      <x:c r="Y385" s="14" t="n">
        <x:f>IF(L385="Loss",1,0)</x:f>
        <x:v>0</x:v>
      </x:c>
      <x:c r="Z385" t="n">
        <x:f>IF(L385="Draw/Unknown",1,0)</x:f>
        <x:v>0</x:v>
      </x:c>
      <x:c r="AA385" s="16" t="str">
        <x:f>IF(OR(N385="",O385=""),"",N385-O385)</x:f>
      </x:c>
      <x:c r="AB385" s="16" t="n">
        <x:f>IF(T385=0,S385+U385,(S385+U385)/T385)</x:f>
        <x:v>40</x:v>
      </x:c>
      <x:c r="AC385" t="n">
        <x:f>S385+U385</x:f>
        <x:v>40</x:v>
      </x:c>
      <x:c r="AD385" t="n">
        <x:f>IF(T385=0,1,0)</x:f>
        <x:v>1</x:v>
      </x:c>
      <x:c r="AE385" t="str">
        <x:f>IF(R385&gt;0,"Gain",IF(R385&lt;0,"Loss","Neutral"))</x:f>
        <x:v>Gain</x:v>
      </x:c>
    </x:row>
    <x:row r="386">
      <x:c r="A386" t="n">
        <x:v>385</x:v>
      </x:c>
      <x:c r="B386" s="12" t="n">
        <x:v>46076</x:v>
      </x:c>
      <x:c r="C386" t="str">
        <x:v>Feb 23</x:v>
      </x:c>
      <x:c r="D386" t="n">
        <x:v>16</x:v>
      </x:c>
      <x:c r="E386" t="n">
        <x:v>10</x:v>
      </x:c>
      <x:c r="F386" s="14" t="n">
        <x:v>6</x:v>
      </x:c>
      <x:c r="G386" t="str">
        <x:v>3mo ago</x:v>
      </x:c>
      <x:c r="H386" t="str">
        <x:v>Competitive</x:v>
      </x:c>
      <x:c r="I386" t="str">
        <x:v>Convoy</x:v>
      </x:c>
      <x:c r="J386" t="str">
        <x:v>Museum of Contemplation</x:v>
      </x:c>
      <x:c r="K386" t="str">
        <x:v>The Thing</x:v>
      </x:c>
      <x:c r="L386" t="str">
        <x:v>Loss</x:v>
      </x:c>
      <x:c r="M386" t="str">
        <x:v>SVP</x:v>
      </x:c>
      <x:c r="N386" t="n">
        <x:v>1</x:v>
      </x:c>
      <x:c r="O386" t="n">
        <x:v>0</x:v>
      </x:c>
      <x:c r="P386" t="str">
        <x:v>Grandmaster III</x:v>
      </x:c>
      <x:c r="Q386" t="n">
        <x:v>4501</x:v>
      </x:c>
      <x:c r="R386" s="14" t="n">
        <x:v>-19</x:v>
      </x:c>
      <x:c r="S386" t="n">
        <x:v>17</x:v>
      </x:c>
      <x:c r="T386" t="n">
        <x:v>5</x:v>
      </x:c>
      <x:c r="U386" t="n">
        <x:v>6</x:v>
      </x:c>
      <x:c r="V386" s="16" t="n">
        <x:v>4.6</x:v>
      </x:c>
      <x:c r="W386" t="str">
        <x:v>Parsed from Tracker.gg MHTML/PDF export; competitive rows only.</x:v>
      </x:c>
      <x:c r="X386" t="n">
        <x:f>IF(L386="Win",1,0)</x:f>
        <x:v>0</x:v>
      </x:c>
      <x:c r="Y386" s="14" t="n">
        <x:f>IF(L386="Loss",1,0)</x:f>
        <x:v>1</x:v>
      </x:c>
      <x:c r="Z386" t="n">
        <x:f>IF(L386="Draw/Unknown",1,0)</x:f>
        <x:v>0</x:v>
      </x:c>
      <x:c r="AA386" s="16" t="str">
        <x:f>IF(OR(N386="",O386=""),"",N386-O386)</x:f>
      </x:c>
      <x:c r="AB386" s="16" t="n">
        <x:f>IF(T386=0,S386+U386,(S386+U386)/T386)</x:f>
        <x:v>4.6</x:v>
      </x:c>
      <x:c r="AC386" t="n">
        <x:f>S386+U386</x:f>
        <x:v>23</x:v>
      </x:c>
      <x:c r="AD386" t="n">
        <x:f>IF(T386=0,1,0)</x:f>
        <x:v>0</x:v>
      </x:c>
      <x:c r="AE386" t="str">
        <x:f>IF(R386&gt;0,"Gain",IF(R386&lt;0,"Loss","Neutral"))</x:f>
        <x:v>Loss</x:v>
      </x:c>
    </x:row>
    <x:row r="387">
      <x:c r="A387" t="n">
        <x:v>386</x:v>
      </x:c>
      <x:c r="B387" s="12" t="n">
        <x:v>46076</x:v>
      </x:c>
      <x:c r="C387" t="str">
        <x:v>Feb 23</x:v>
      </x:c>
      <x:c r="D387" t="n">
        <x:v>16</x:v>
      </x:c>
      <x:c r="E387" t="n">
        <x:v>10</x:v>
      </x:c>
      <x:c r="F387" s="14" t="n">
        <x:v>6</x:v>
      </x:c>
      <x:c r="G387" t="str">
        <x:v>3mo ago</x:v>
      </x:c>
      <x:c r="H387" t="str">
        <x:v>Competitive</x:v>
      </x:c>
      <x:c r="I387" t="str">
        <x:v>Convoy</x:v>
      </x:c>
      <x:c r="J387" t="str">
        <x:v>Arakko</x:v>
      </x:c>
      <x:c r="K387" t="str">
        <x:v>The Thing</x:v>
      </x:c>
      <x:c r="L387" t="str">
        <x:v>Win</x:v>
      </x:c>
      <x:c r="M387" t="str"/>
      <x:c r="N387" t="n">
        <x:v>3</x:v>
      </x:c>
      <x:c r="O387" t="n">
        <x:v>1</x:v>
      </x:c>
      <x:c r="P387" t="str">
        <x:v>Grandmaster III</x:v>
      </x:c>
      <x:c r="Q387" t="n">
        <x:v>4520</x:v>
      </x:c>
      <x:c r="R387" s="14" t="n">
        <x:v>22</x:v>
      </x:c>
      <x:c r="S387" t="n">
        <x:v>21</x:v>
      </x:c>
      <x:c r="T387" t="n">
        <x:v>8</x:v>
      </x:c>
      <x:c r="U387" t="n">
        <x:v>8</x:v>
      </x:c>
      <x:c r="V387" s="16" t="n">
        <x:v>3.62</x:v>
      </x:c>
      <x:c r="W387" t="str">
        <x:v>Parsed from Tracker.gg MHTML/PDF export; competitive rows only.</x:v>
      </x:c>
      <x:c r="X387" t="n">
        <x:f>IF(L387="Win",1,0)</x:f>
        <x:v>1</x:v>
      </x:c>
      <x:c r="Y387" s="14" t="n">
        <x:f>IF(L387="Loss",1,0)</x:f>
        <x:v>0</x:v>
      </x:c>
      <x:c r="Z387" t="n">
        <x:f>IF(L387="Draw/Unknown",1,0)</x:f>
        <x:v>0</x:v>
      </x:c>
      <x:c r="AA387" s="16" t="n">
        <x:f>IF(OR(N387="",O387=""),"",N387-O387)</x:f>
        <x:v>2</x:v>
      </x:c>
      <x:c r="AB387" s="16" t="n">
        <x:f>IF(T387=0,S387+U387,(S387+U387)/T387)</x:f>
        <x:v>3.625</x:v>
      </x:c>
      <x:c r="AC387" t="n">
        <x:f>S387+U387</x:f>
        <x:v>29</x:v>
      </x:c>
      <x:c r="AD387" t="n">
        <x:f>IF(T387=0,1,0)</x:f>
        <x:v>0</x:v>
      </x:c>
      <x:c r="AE387" t="str">
        <x:f>IF(R387&gt;0,"Gain",IF(R387&lt;0,"Loss","Neutral"))</x:f>
        <x:v>Gain</x:v>
      </x:c>
    </x:row>
    <x:row r="388">
      <x:c r="A388" t="n">
        <x:v>387</x:v>
      </x:c>
      <x:c r="B388" s="12" t="n">
        <x:v>46076</x:v>
      </x:c>
      <x:c r="C388" t="str">
        <x:v>Feb 23</x:v>
      </x:c>
      <x:c r="D388" t="n">
        <x:v>16</x:v>
      </x:c>
      <x:c r="E388" t="n">
        <x:v>10</x:v>
      </x:c>
      <x:c r="F388" s="14" t="n">
        <x:v>6</x:v>
      </x:c>
      <x:c r="G388" t="str">
        <x:v>3mo ago</x:v>
      </x:c>
      <x:c r="H388" t="str">
        <x:v>Competitive</x:v>
      </x:c>
      <x:c r="I388" t="str">
        <x:v>Convergence</x:v>
      </x:c>
      <x:c r="J388" t="str">
        <x:v>Central Park</x:v>
      </x:c>
      <x:c r="K388" t="str">
        <x:v>Groot</x:v>
      </x:c>
      <x:c r="L388" t="str">
        <x:v>Loss</x:v>
      </x:c>
      <x:c r="M388" t="str"/>
      <x:c r="N388" t="n">
        <x:v>3</x:v>
      </x:c>
      <x:c r="O388" t="n">
        <x:v>4</x:v>
      </x:c>
      <x:c r="P388" t="str">
        <x:v>Grandmaster III</x:v>
      </x:c>
      <x:c r="Q388" t="n">
        <x:v>4497</x:v>
      </x:c>
      <x:c r="R388" s="14" t="n">
        <x:v>-22</x:v>
      </x:c>
      <x:c r="S388" t="n">
        <x:v>27</x:v>
      </x:c>
      <x:c r="T388" t="n">
        <x:v>12</x:v>
      </x:c>
      <x:c r="U388" t="n">
        <x:v>3</x:v>
      </x:c>
      <x:c r="V388" s="16" t="n">
        <x:v>2.5</x:v>
      </x:c>
      <x:c r="W388" t="str">
        <x:v>Parsed from Tracker.gg MHTML/PDF export; competitive rows only.</x:v>
      </x:c>
      <x:c r="X388" t="n">
        <x:f>IF(L388="Win",1,0)</x:f>
        <x:v>0</x:v>
      </x:c>
      <x:c r="Y388" s="14" t="n">
        <x:f>IF(L388="Loss",1,0)</x:f>
        <x:v>1</x:v>
      </x:c>
      <x:c r="Z388" t="n">
        <x:f>IF(L388="Draw/Unknown",1,0)</x:f>
        <x:v>0</x:v>
      </x:c>
      <x:c r="AA388" s="16" t="n">
        <x:f>IF(OR(N388="",O388=""),"",N388-O388)</x:f>
        <x:v>-1</x:v>
      </x:c>
      <x:c r="AB388" s="16" t="n">
        <x:f>IF(T388=0,S388+U388,(S388+U388)/T388)</x:f>
        <x:v>2.5</x:v>
      </x:c>
      <x:c r="AC388" t="n">
        <x:f>S388+U388</x:f>
        <x:v>30</x:v>
      </x:c>
      <x:c r="AD388" t="n">
        <x:f>IF(T388=0,1,0)</x:f>
        <x:v>0</x:v>
      </x:c>
      <x:c r="AE388" t="str">
        <x:f>IF(R388&gt;0,"Gain",IF(R388&lt;0,"Loss","Neutral"))</x:f>
        <x:v>Loss</x:v>
      </x:c>
    </x:row>
    <x:row r="389">
      <x:c r="A389" t="n">
        <x:v>388</x:v>
      </x:c>
      <x:c r="B389" s="12" t="n">
        <x:v>46076</x:v>
      </x:c>
      <x:c r="C389" t="str">
        <x:v>Feb 23</x:v>
      </x:c>
      <x:c r="D389" t="n">
        <x:v>16</x:v>
      </x:c>
      <x:c r="E389" t="n">
        <x:v>10</x:v>
      </x:c>
      <x:c r="F389" s="14" t="n">
        <x:v>6</x:v>
      </x:c>
      <x:c r="G389" t="str">
        <x:v>3mo ago</x:v>
      </x:c>
      <x:c r="H389" t="str">
        <x:v>Competitive</x:v>
      </x:c>
      <x:c r="I389" t="str">
        <x:v>Domination</x:v>
      </x:c>
      <x:c r="J389" t="str">
        <x:v>Celestial Husk</x:v>
      </x:c>
      <x:c r="K389" t="str">
        <x:v>Cloak &amp; Dagger</x:v>
      </x:c>
      <x:c r="L389" t="str">
        <x:v>Win</x:v>
      </x:c>
      <x:c r="M389" t="str"/>
      <x:c r="N389" t="n">
        <x:v>2</x:v>
      </x:c>
      <x:c r="O389" t="n">
        <x:v>0</x:v>
      </x:c>
      <x:c r="P389" t="str">
        <x:v>Grandmaster III</x:v>
      </x:c>
      <x:c r="Q389" t="n">
        <x:v>4518</x:v>
      </x:c>
      <x:c r="R389" s="14" t="n">
        <x:v>24</x:v>
      </x:c>
      <x:c r="S389" t="n">
        <x:v>16</x:v>
      </x:c>
      <x:c r="T389" t="n">
        <x:v>5</x:v>
      </x:c>
      <x:c r="U389" t="n">
        <x:v>31</x:v>
      </x:c>
      <x:c r="V389" s="16" t="n">
        <x:v>9.4</x:v>
      </x:c>
      <x:c r="W389" t="str">
        <x:v>Parsed from Tracker.gg MHTML/PDF export; competitive rows only.</x:v>
      </x:c>
      <x:c r="X389" t="n">
        <x:f>IF(L389="Win",1,0)</x:f>
        <x:v>1</x:v>
      </x:c>
      <x:c r="Y389" s="14" t="n">
        <x:f>IF(L389="Loss",1,0)</x:f>
        <x:v>0</x:v>
      </x:c>
      <x:c r="Z389" t="n">
        <x:f>IF(L389="Draw/Unknown",1,0)</x:f>
        <x:v>0</x:v>
      </x:c>
      <x:c r="AA389" s="16" t="str">
        <x:f>IF(OR(N389="",O389=""),"",N389-O389)</x:f>
      </x:c>
      <x:c r="AB389" s="16" t="n">
        <x:f>IF(T389=0,S389+U389,(S389+U389)/T389)</x:f>
        <x:v>9.4</x:v>
      </x:c>
      <x:c r="AC389" t="n">
        <x:f>S389+U389</x:f>
        <x:v>47</x:v>
      </x:c>
      <x:c r="AD389" t="n">
        <x:f>IF(T389=0,1,0)</x:f>
        <x:v>0</x:v>
      </x:c>
      <x:c r="AE389" t="str">
        <x:f>IF(R389&gt;0,"Gain",IF(R389&lt;0,"Loss","Neutral"))</x:f>
        <x:v>Gain</x:v>
      </x:c>
    </x:row>
    <x:row r="390">
      <x:c r="A390" t="n">
        <x:v>389</x:v>
      </x:c>
      <x:c r="B390" s="12" t="n">
        <x:v>46076</x:v>
      </x:c>
      <x:c r="C390" t="str">
        <x:v>Feb 23</x:v>
      </x:c>
      <x:c r="D390" t="n">
        <x:v>16</x:v>
      </x:c>
      <x:c r="E390" t="n">
        <x:v>10</x:v>
      </x:c>
      <x:c r="F390" s="14" t="n">
        <x:v>6</x:v>
      </x:c>
      <x:c r="G390" t="str">
        <x:v>3mo ago</x:v>
      </x:c>
      <x:c r="H390" t="str">
        <x:v>Competitive</x:v>
      </x:c>
      <x:c r="I390" t="str">
        <x:v>Convoy</x:v>
      </x:c>
      <x:c r="J390" t="str">
        <x:v>Museum of Contemplation</x:v>
      </x:c>
      <x:c r="K390" t="str">
        <x:v>The Thing</x:v>
      </x:c>
      <x:c r="L390" t="str">
        <x:v>Win</x:v>
      </x:c>
      <x:c r="M390" t="str"/>
      <x:c r="N390" t="n">
        <x:v>2</x:v>
      </x:c>
      <x:c r="O390" t="n">
        <x:v>3</x:v>
      </x:c>
      <x:c r="P390" t="str">
        <x:v>Diamond I</x:v>
      </x:c>
      <x:c r="Q390" t="n">
        <x:v>4494</x:v>
      </x:c>
      <x:c r="R390" s="14" t="n">
        <x:v>24</x:v>
      </x:c>
      <x:c r="S390" t="n">
        <x:v>37</x:v>
      </x:c>
      <x:c r="T390" t="n">
        <x:v>9</x:v>
      </x:c>
      <x:c r="U390" t="n">
        <x:v>13</x:v>
      </x:c>
      <x:c r="V390" s="16" t="n">
        <x:v>5.56</x:v>
      </x:c>
      <x:c r="W390" t="str">
        <x:v>Parsed from Tracker.gg MHTML/PDF export; competitive rows only.</x:v>
      </x:c>
      <x:c r="X390" t="n">
        <x:f>IF(L390="Win",1,0)</x:f>
        <x:v>1</x:v>
      </x:c>
      <x:c r="Y390" s="14" t="n">
        <x:f>IF(L390="Loss",1,0)</x:f>
        <x:v>0</x:v>
      </x:c>
      <x:c r="Z390" t="n">
        <x:f>IF(L390="Draw/Unknown",1,0)</x:f>
        <x:v>0</x:v>
      </x:c>
      <x:c r="AA390" s="16" t="n">
        <x:f>IF(OR(N390="",O390=""),"",N390-O390)</x:f>
        <x:v>-1</x:v>
      </x:c>
      <x:c r="AB390" s="16" t="n">
        <x:f>IF(T390=0,S390+U390,(S390+U390)/T390)</x:f>
        <x:v>5.555555555555555</x:v>
      </x:c>
      <x:c r="AC390" t="n">
        <x:f>S390+U390</x:f>
        <x:v>50</x:v>
      </x:c>
      <x:c r="AD390" t="n">
        <x:f>IF(T390=0,1,0)</x:f>
        <x:v>0</x:v>
      </x:c>
      <x:c r="AE390" t="str">
        <x:f>IF(R390&gt;0,"Gain",IF(R390&lt;0,"Loss","Neutral"))</x:f>
        <x:v>Gain</x:v>
      </x:c>
    </x:row>
    <x:row r="391">
      <x:c r="A391" t="n">
        <x:v>390</x:v>
      </x:c>
      <x:c r="B391" s="12" t="n">
        <x:v>46076</x:v>
      </x:c>
      <x:c r="C391" t="str">
        <x:v>Feb 23</x:v>
      </x:c>
      <x:c r="D391" t="n">
        <x:v>16</x:v>
      </x:c>
      <x:c r="E391" t="n">
        <x:v>10</x:v>
      </x:c>
      <x:c r="F391" s="14" t="n">
        <x:v>6</x:v>
      </x:c>
      <x:c r="G391" t="str">
        <x:v>3mo ago</x:v>
      </x:c>
      <x:c r="H391" t="str">
        <x:v>Competitive</x:v>
      </x:c>
      <x:c r="I391" t="str">
        <x:v>Domination</x:v>
      </x:c>
      <x:c r="J391" t="str">
        <x:v>Birnin T'Challa</x:v>
      </x:c>
      <x:c r="K391" t="str">
        <x:v>The Thing</x:v>
      </x:c>
      <x:c r="L391" t="str">
        <x:v>Loss</x:v>
      </x:c>
      <x:c r="M391" t="str"/>
      <x:c r="N391" t="n">
        <x:v>1</x:v>
      </x:c>
      <x:c r="O391" t="n">
        <x:v>2</x:v>
      </x:c>
      <x:c r="P391" t="str">
        <x:v>Diamond I</x:v>
      </x:c>
      <x:c r="Q391" t="n">
        <x:v>4470</x:v>
      </x:c>
      <x:c r="R391" s="14" t="n">
        <x:v>-25</x:v>
      </x:c>
      <x:c r="S391" t="n">
        <x:v>14</x:v>
      </x:c>
      <x:c r="T391" t="n">
        <x:v>12</x:v>
      </x:c>
      <x:c r="U391" t="n">
        <x:v>5</x:v>
      </x:c>
      <x:c r="V391" s="16" t="n">
        <x:v>1.58</x:v>
      </x:c>
      <x:c r="W391" t="str">
        <x:v>Parsed from Tracker.gg MHTML/PDF export; competitive rows only.</x:v>
      </x:c>
      <x:c r="X391" t="n">
        <x:f>IF(L391="Win",1,0)</x:f>
        <x:v>0</x:v>
      </x:c>
      <x:c r="Y391" s="14" t="n">
        <x:f>IF(L391="Loss",1,0)</x:f>
        <x:v>1</x:v>
      </x:c>
      <x:c r="Z391" t="n">
        <x:f>IF(L391="Draw/Unknown",1,0)</x:f>
        <x:v>0</x:v>
      </x:c>
      <x:c r="AA391" s="16" t="n">
        <x:f>IF(OR(N391="",O391=""),"",N391-O391)</x:f>
        <x:v>-1</x:v>
      </x:c>
      <x:c r="AB391" s="16" t="n">
        <x:f>IF(T391=0,S391+U391,(S391+U391)/T391)</x:f>
        <x:v>1.5833333333333333</x:v>
      </x:c>
      <x:c r="AC391" t="n">
        <x:f>S391+U391</x:f>
        <x:v>19</x:v>
      </x:c>
      <x:c r="AD391" t="n">
        <x:f>IF(T391=0,1,0)</x:f>
        <x:v>0</x:v>
      </x:c>
      <x:c r="AE391" t="str">
        <x:f>IF(R391&gt;0,"Gain",IF(R391&lt;0,"Loss","Neutral"))</x:f>
        <x:v>Loss</x:v>
      </x:c>
    </x:row>
    <x:row r="392">
      <x:c r="A392" t="n">
        <x:v>391</x:v>
      </x:c>
      <x:c r="B392" s="12" t="n">
        <x:v>46076</x:v>
      </x:c>
      <x:c r="C392" t="str">
        <x:v>Feb 23</x:v>
      </x:c>
      <x:c r="D392" t="n">
        <x:v>16</x:v>
      </x:c>
      <x:c r="E392" t="n">
        <x:v>10</x:v>
      </x:c>
      <x:c r="F392" s="14" t="n">
        <x:v>6</x:v>
      </x:c>
      <x:c r="G392" t="str">
        <x:v>3mo ago</x:v>
      </x:c>
      <x:c r="H392" t="str">
        <x:v>Competitive</x:v>
      </x:c>
      <x:c r="I392" t="str">
        <x:v>Domination</x:v>
      </x:c>
      <x:c r="J392" t="str">
        <x:v>Birnin T'Challa</x:v>
      </x:c>
      <x:c r="K392" t="str">
        <x:v>The Thing</x:v>
      </x:c>
      <x:c r="L392" t="str">
        <x:v>Win</x:v>
      </x:c>
      <x:c r="M392" t="str"/>
      <x:c r="N392" t="n">
        <x:v>1</x:v>
      </x:c>
      <x:c r="O392" t="n">
        <x:v>2</x:v>
      </x:c>
      <x:c r="P392" t="str">
        <x:v>Diamond I</x:v>
      </x:c>
      <x:c r="Q392" t="n">
        <x:v>4494</x:v>
      </x:c>
      <x:c r="R392" s="14" t="n">
        <x:v>23</x:v>
      </x:c>
      <x:c r="S392" t="n">
        <x:v>26</x:v>
      </x:c>
      <x:c r="T392" t="n">
        <x:v>6</x:v>
      </x:c>
      <x:c r="U392" t="n">
        <x:v>5</x:v>
      </x:c>
      <x:c r="V392" s="16" t="n">
        <x:v>5.17</x:v>
      </x:c>
      <x:c r="W392" t="str">
        <x:v>Parsed from Tracker.gg MHTML/PDF export; competitive rows only.</x:v>
      </x:c>
      <x:c r="X392" t="n">
        <x:f>IF(L392="Win",1,0)</x:f>
        <x:v>1</x:v>
      </x:c>
      <x:c r="Y392" s="14" t="n">
        <x:f>IF(L392="Loss",1,0)</x:f>
        <x:v>0</x:v>
      </x:c>
      <x:c r="Z392" t="n">
        <x:f>IF(L392="Draw/Unknown",1,0)</x:f>
        <x:v>0</x:v>
      </x:c>
      <x:c r="AA392" s="16" t="n">
        <x:f>IF(OR(N392="",O392=""),"",N392-O392)</x:f>
        <x:v>-1</x:v>
      </x:c>
      <x:c r="AB392" s="16" t="n">
        <x:f>IF(T392=0,S392+U392,(S392+U392)/T392)</x:f>
        <x:v>5.166666666666667</x:v>
      </x:c>
      <x:c r="AC392" t="n">
        <x:f>S392+U392</x:f>
        <x:v>31</x:v>
      </x:c>
      <x:c r="AD392" t="n">
        <x:f>IF(T392=0,1,0)</x:f>
        <x:v>0</x:v>
      </x:c>
      <x:c r="AE392" t="str">
        <x:f>IF(R392&gt;0,"Gain",IF(R392&lt;0,"Loss","Neutral"))</x:f>
        <x:v>Gain</x:v>
      </x:c>
    </x:row>
    <x:row r="393">
      <x:c r="A393" t="n">
        <x:v>392</x:v>
      </x:c>
      <x:c r="B393" s="12" t="n">
        <x:v>46076</x:v>
      </x:c>
      <x:c r="C393" t="str">
        <x:v>Feb 23</x:v>
      </x:c>
      <x:c r="D393" t="n">
        <x:v>16</x:v>
      </x:c>
      <x:c r="E393" t="n">
        <x:v>10</x:v>
      </x:c>
      <x:c r="F393" s="14" t="n">
        <x:v>6</x:v>
      </x:c>
      <x:c r="G393" t="str">
        <x:v>3mo ago</x:v>
      </x:c>
      <x:c r="H393" t="str">
        <x:v>Competitive</x:v>
      </x:c>
      <x:c r="I393" t="str">
        <x:v>Convoy</x:v>
      </x:c>
      <x:c r="J393" t="str">
        <x:v>Arakko</x:v>
      </x:c>
      <x:c r="K393" t="str">
        <x:v>The Thing</x:v>
      </x:c>
      <x:c r="L393" t="str">
        <x:v>Win</x:v>
      </x:c>
      <x:c r="M393" t="str"/>
      <x:c r="N393" t="n">
        <x:v>2</x:v>
      </x:c>
      <x:c r="O393" t="n">
        <x:v>1</x:v>
      </x:c>
      <x:c r="P393" t="str">
        <x:v>Diamond I</x:v>
      </x:c>
      <x:c r="Q393" t="n">
        <x:v>4471</x:v>
      </x:c>
      <x:c r="R393" s="14" t="n">
        <x:v>21</x:v>
      </x:c>
      <x:c r="S393" t="n">
        <x:v>28</x:v>
      </x:c>
      <x:c r="T393" t="n">
        <x:v>7</x:v>
      </x:c>
      <x:c r="U393" t="n">
        <x:v>9</x:v>
      </x:c>
      <x:c r="V393" s="16" t="n">
        <x:v>5.29</x:v>
      </x:c>
      <x:c r="W393" t="str">
        <x:v>Parsed from Tracker.gg MHTML/PDF export; competitive rows only.</x:v>
      </x:c>
      <x:c r="X393" t="n">
        <x:f>IF(L393="Win",1,0)</x:f>
        <x:v>1</x:v>
      </x:c>
      <x:c r="Y393" s="14" t="n">
        <x:f>IF(L393="Loss",1,0)</x:f>
        <x:v>0</x:v>
      </x:c>
      <x:c r="Z393" t="n">
        <x:f>IF(L393="Draw/Unknown",1,0)</x:f>
        <x:v>0</x:v>
      </x:c>
      <x:c r="AA393" s="16" t="n">
        <x:f>IF(OR(N393="",O393=""),"",N393-O393)</x:f>
        <x:v>1</x:v>
      </x:c>
      <x:c r="AB393" s="16" t="n">
        <x:f>IF(T393=0,S393+U393,(S393+U393)/T393)</x:f>
        <x:v>5.285714285714286</x:v>
      </x:c>
      <x:c r="AC393" t="n">
        <x:f>S393+U393</x:f>
        <x:v>37</x:v>
      </x:c>
      <x:c r="AD393" t="n">
        <x:f>IF(T393=0,1,0)</x:f>
        <x:v>0</x:v>
      </x:c>
      <x:c r="AE393" t="str">
        <x:f>IF(R393&gt;0,"Gain",IF(R393&lt;0,"Loss","Neutral"))</x:f>
        <x:v>Gain</x:v>
      </x:c>
    </x:row>
    <x:row r="394">
      <x:c r="A394" t="n">
        <x:v>393</x:v>
      </x:c>
      <x:c r="B394" s="12" t="n">
        <x:v>46076</x:v>
      </x:c>
      <x:c r="C394" t="str">
        <x:v>Feb 23</x:v>
      </x:c>
      <x:c r="D394" t="n">
        <x:v>16</x:v>
      </x:c>
      <x:c r="E394" t="n">
        <x:v>10</x:v>
      </x:c>
      <x:c r="F394" s="14" t="n">
        <x:v>6</x:v>
      </x:c>
      <x:c r="G394" t="str">
        <x:v>3mo ago</x:v>
      </x:c>
      <x:c r="H394" t="str">
        <x:v>Competitive</x:v>
      </x:c>
      <x:c r="I394" t="str">
        <x:v>Convoy</x:v>
      </x:c>
      <x:c r="J394" t="str">
        <x:v>Yggdrasill Path</x:v>
      </x:c>
      <x:c r="K394" t="str">
        <x:v>The Thing</x:v>
      </x:c>
      <x:c r="L394" t="str">
        <x:v>Win</x:v>
      </x:c>
      <x:c r="M394" t="str"/>
      <x:c r="N394" t="n">
        <x:v>3</x:v>
      </x:c>
      <x:c r="O394" t="n">
        <x:v>1</x:v>
      </x:c>
      <x:c r="P394" t="str">
        <x:v>Diamond I</x:v>
      </x:c>
      <x:c r="Q394" t="n">
        <x:v>4450</x:v>
      </x:c>
      <x:c r="R394" s="14" t="n">
        <x:v>23</x:v>
      </x:c>
      <x:c r="S394" t="n">
        <x:v>35</x:v>
      </x:c>
      <x:c r="T394" t="n">
        <x:v>13</x:v>
      </x:c>
      <x:c r="U394" t="n">
        <x:v>14</x:v>
      </x:c>
      <x:c r="V394" s="16" t="n">
        <x:v>3.77</x:v>
      </x:c>
      <x:c r="W394" t="str">
        <x:v>Parsed from Tracker.gg MHTML/PDF export; competitive rows only.</x:v>
      </x:c>
      <x:c r="X394" t="n">
        <x:f>IF(L394="Win",1,0)</x:f>
        <x:v>1</x:v>
      </x:c>
      <x:c r="Y394" s="14" t="n">
        <x:f>IF(L394="Loss",1,0)</x:f>
        <x:v>0</x:v>
      </x:c>
      <x:c r="Z394" t="n">
        <x:f>IF(L394="Draw/Unknown",1,0)</x:f>
        <x:v>0</x:v>
      </x:c>
      <x:c r="AA394" s="16" t="n">
        <x:f>IF(OR(N394="",O394=""),"",N394-O394)</x:f>
        <x:v>2</x:v>
      </x:c>
      <x:c r="AB394" s="16" t="n">
        <x:f>IF(T394=0,S394+U394,(S394+U394)/T394)</x:f>
        <x:v>3.769230769230769</x:v>
      </x:c>
      <x:c r="AC394" t="n">
        <x:f>S394+U394</x:f>
        <x:v>49</x:v>
      </x:c>
      <x:c r="AD394" t="n">
        <x:f>IF(T394=0,1,0)</x:f>
        <x:v>0</x:v>
      </x:c>
      <x:c r="AE394" t="str">
        <x:f>IF(R394&gt;0,"Gain",IF(R394&lt;0,"Loss","Neutral"))</x:f>
        <x:v>Gain</x:v>
      </x:c>
    </x:row>
    <x:row r="395">
      <x:c r="A395" t="n">
        <x:v>394</x:v>
      </x:c>
      <x:c r="B395" s="12" t="n">
        <x:v>46076</x:v>
      </x:c>
      <x:c r="C395" t="str">
        <x:v>Feb 23</x:v>
      </x:c>
      <x:c r="D395" t="n">
        <x:v>16</x:v>
      </x:c>
      <x:c r="E395" t="n">
        <x:v>10</x:v>
      </x:c>
      <x:c r="F395" s="14" t="n">
        <x:v>6</x:v>
      </x:c>
      <x:c r="G395" t="str">
        <x:v>3mo ago</x:v>
      </x:c>
      <x:c r="H395" t="str">
        <x:v>Competitive</x:v>
      </x:c>
      <x:c r="I395" t="str">
        <x:v>Domination</x:v>
      </x:c>
      <x:c r="J395" t="str">
        <x:v>Krakoa</x:v>
      </x:c>
      <x:c r="K395" t="str">
        <x:v>The Thing</x:v>
      </x:c>
      <x:c r="L395" t="str">
        <x:v>Loss</x:v>
      </x:c>
      <x:c r="M395" t="str"/>
      <x:c r="N395" t="n">
        <x:v>1</x:v>
      </x:c>
      <x:c r="O395" t="n">
        <x:v>2</x:v>
      </x:c>
      <x:c r="P395" t="str">
        <x:v>Diamond I</x:v>
      </x:c>
      <x:c r="Q395" t="n">
        <x:v>4426</x:v>
      </x:c>
      <x:c r="R395" s="14" t="n">
        <x:v>-22</x:v>
      </x:c>
      <x:c r="S395" t="n">
        <x:v>18</x:v>
      </x:c>
      <x:c r="T395" t="n">
        <x:v>11</x:v>
      </x:c>
      <x:c r="U395" t="n">
        <x:v>8</x:v>
      </x:c>
      <x:c r="V395" s="16" t="n">
        <x:v>2.36</x:v>
      </x:c>
      <x:c r="W395" t="str">
        <x:v>Parsed from Tracker.gg MHTML/PDF export; competitive rows only.</x:v>
      </x:c>
      <x:c r="X395" t="n">
        <x:f>IF(L395="Win",1,0)</x:f>
        <x:v>0</x:v>
      </x:c>
      <x:c r="Y395" s="14" t="n">
        <x:f>IF(L395="Loss",1,0)</x:f>
        <x:v>1</x:v>
      </x:c>
      <x:c r="Z395" t="n">
        <x:f>IF(L395="Draw/Unknown",1,0)</x:f>
        <x:v>0</x:v>
      </x:c>
      <x:c r="AA395" s="16" t="n">
        <x:f>IF(OR(N395="",O395=""),"",N395-O395)</x:f>
        <x:v>-1</x:v>
      </x:c>
      <x:c r="AB395" s="16" t="n">
        <x:f>IF(T395=0,S395+U395,(S395+U395)/T395)</x:f>
        <x:v>2.3636363636363638</x:v>
      </x:c>
      <x:c r="AC395" t="n">
        <x:f>S395+U395</x:f>
        <x:v>26</x:v>
      </x:c>
      <x:c r="AD395" t="n">
        <x:f>IF(T395=0,1,0)</x:f>
        <x:v>0</x:v>
      </x:c>
      <x:c r="AE395" t="str">
        <x:f>IF(R395&gt;0,"Gain",IF(R395&lt;0,"Loss","Neutral"))</x:f>
        <x:v>Loss</x:v>
      </x:c>
    </x:row>
    <x:row r="396">
      <x:c r="A396" t="n">
        <x:v>395</x:v>
      </x:c>
      <x:c r="B396" s="12" t="n">
        <x:v>46076</x:v>
      </x:c>
      <x:c r="C396" t="str">
        <x:v>Feb 23</x:v>
      </x:c>
      <x:c r="D396" t="n">
        <x:v>16</x:v>
      </x:c>
      <x:c r="E396" t="n">
        <x:v>10</x:v>
      </x:c>
      <x:c r="F396" s="14" t="n">
        <x:v>6</x:v>
      </x:c>
      <x:c r="G396" t="str">
        <x:v>3mo ago</x:v>
      </x:c>
      <x:c r="H396" t="str">
        <x:v>Competitive</x:v>
      </x:c>
      <x:c r="I396" t="str">
        <x:v>Convoy</x:v>
      </x:c>
      <x:c r="J396" t="str">
        <x:v>Museum of Contemplation</x:v>
      </x:c>
      <x:c r="K396" t="str">
        <x:v>The Thing</x:v>
      </x:c>
      <x:c r="L396" t="str">
        <x:v>Win</x:v>
      </x:c>
      <x:c r="M396" t="str"/>
      <x:c r="N396" t="n">
        <x:v>2</x:v>
      </x:c>
      <x:c r="O396" t="n">
        <x:v>1</x:v>
      </x:c>
      <x:c r="P396" t="str">
        <x:v>Diamond I</x:v>
      </x:c>
      <x:c r="Q396" t="n">
        <x:v>4448</x:v>
      </x:c>
      <x:c r="R396" s="14" t="n">
        <x:v>23</x:v>
      </x:c>
      <x:c r="S396" t="n">
        <x:v>36</x:v>
      </x:c>
      <x:c r="T396" t="n">
        <x:v>12</x:v>
      </x:c>
      <x:c r="U396" t="n">
        <x:v>24</x:v>
      </x:c>
      <x:c r="V396" s="16" t="n">
        <x:v>5</x:v>
      </x:c>
      <x:c r="W396" t="str">
        <x:v>Parsed from Tracker.gg MHTML/PDF export; competitive rows only.</x:v>
      </x:c>
      <x:c r="X396" t="n">
        <x:f>IF(L396="Win",1,0)</x:f>
        <x:v>1</x:v>
      </x:c>
      <x:c r="Y396" s="14" t="n">
        <x:f>IF(L396="Loss",1,0)</x:f>
        <x:v>0</x:v>
      </x:c>
      <x:c r="Z396" t="n">
        <x:f>IF(L396="Draw/Unknown",1,0)</x:f>
        <x:v>0</x:v>
      </x:c>
      <x:c r="AA396" s="16" t="n">
        <x:f>IF(OR(N396="",O396=""),"",N396-O396)</x:f>
        <x:v>1</x:v>
      </x:c>
      <x:c r="AB396" s="16" t="n">
        <x:f>IF(T396=0,S396+U396,(S396+U396)/T396)</x:f>
        <x:v>5</x:v>
      </x:c>
      <x:c r="AC396" t="n">
        <x:f>S396+U396</x:f>
        <x:v>60</x:v>
      </x:c>
      <x:c r="AD396" t="n">
        <x:f>IF(T396=0,1,0)</x:f>
        <x:v>0</x:v>
      </x:c>
      <x:c r="AE396" t="str">
        <x:f>IF(R396&gt;0,"Gain",IF(R396&lt;0,"Loss","Neutral"))</x:f>
        <x:v>Gain</x:v>
      </x:c>
    </x:row>
    <x:row r="397">
      <x:c r="A397" t="n">
        <x:v>396</x:v>
      </x:c>
      <x:c r="B397" s="12" t="n">
        <x:v>46075</x:v>
      </x:c>
      <x:c r="C397" t="str">
        <x:v>Feb 22</x:v>
      </x:c>
      <x:c r="D397" t="n">
        <x:v>12</x:v>
      </x:c>
      <x:c r="E397" t="n">
        <x:v>5</x:v>
      </x:c>
      <x:c r="F397" s="14" t="n">
        <x:v>7</x:v>
      </x:c>
      <x:c r="G397" t="str">
        <x:v>3mo ago</x:v>
      </x:c>
      <x:c r="H397" t="str">
        <x:v>Competitive</x:v>
      </x:c>
      <x:c r="I397" t="str">
        <x:v>Domination</x:v>
      </x:c>
      <x:c r="J397" t="str">
        <x:v>Hell's Heaven</x:v>
      </x:c>
      <x:c r="K397" t="str">
        <x:v>The Thing</x:v>
      </x:c>
      <x:c r="L397" t="str">
        <x:v>Win</x:v>
      </x:c>
      <x:c r="M397" t="str"/>
      <x:c r="N397" t="n">
        <x:v>2</x:v>
      </x:c>
      <x:c r="O397" t="n">
        <x:v>1</x:v>
      </x:c>
      <x:c r="P397" t="str">
        <x:v>Diamond I</x:v>
      </x:c>
      <x:c r="Q397" t="n">
        <x:v>4424</x:v>
      </x:c>
      <x:c r="R397" s="14" t="n">
        <x:v>20</x:v>
      </x:c>
      <x:c r="S397" t="n">
        <x:v>30</x:v>
      </x:c>
      <x:c r="T397" t="n">
        <x:v>10</x:v>
      </x:c>
      <x:c r="U397" t="n">
        <x:v>12</x:v>
      </x:c>
      <x:c r="V397" s="16" t="n">
        <x:v>4.2</x:v>
      </x:c>
      <x:c r="W397" t="str">
        <x:v>Parsed from Tracker.gg MHTML/PDF export; competitive rows only.</x:v>
      </x:c>
      <x:c r="X397" t="n">
        <x:f>IF(L397="Win",1,0)</x:f>
        <x:v>1</x:v>
      </x:c>
      <x:c r="Y397" s="14" t="n">
        <x:f>IF(L397="Loss",1,0)</x:f>
        <x:v>0</x:v>
      </x:c>
      <x:c r="Z397" t="n">
        <x:f>IF(L397="Draw/Unknown",1,0)</x:f>
        <x:v>0</x:v>
      </x:c>
      <x:c r="AA397" s="16" t="n">
        <x:f>IF(OR(N397="",O397=""),"",N397-O397)</x:f>
        <x:v>1</x:v>
      </x:c>
      <x:c r="AB397" s="16" t="n">
        <x:f>IF(T397=0,S397+U397,(S397+U397)/T397)</x:f>
        <x:v>4.2</x:v>
      </x:c>
      <x:c r="AC397" t="n">
        <x:f>S397+U397</x:f>
        <x:v>42</x:v>
      </x:c>
      <x:c r="AD397" t="n">
        <x:f>IF(T397=0,1,0)</x:f>
        <x:v>0</x:v>
      </x:c>
      <x:c r="AE397" t="str">
        <x:f>IF(R397&gt;0,"Gain",IF(R397&lt;0,"Loss","Neutral"))</x:f>
        <x:v>Gain</x:v>
      </x:c>
    </x:row>
    <x:row r="398">
      <x:c r="A398" t="n">
        <x:v>397</x:v>
      </x:c>
      <x:c r="B398" s="12" t="n">
        <x:v>46075</x:v>
      </x:c>
      <x:c r="C398" t="str">
        <x:v>Feb 22</x:v>
      </x:c>
      <x:c r="D398" t="n">
        <x:v>12</x:v>
      </x:c>
      <x:c r="E398" t="n">
        <x:v>5</x:v>
      </x:c>
      <x:c r="F398" s="14" t="n">
        <x:v>7</x:v>
      </x:c>
      <x:c r="G398" t="str">
        <x:v>3mo ago</x:v>
      </x:c>
      <x:c r="H398" t="str">
        <x:v>Competitive</x:v>
      </x:c>
      <x:c r="I398" t="str">
        <x:v>Convoy</x:v>
      </x:c>
      <x:c r="J398" t="str">
        <x:v>Arakko</x:v>
      </x:c>
      <x:c r="K398" t="str">
        <x:v>The Thing</x:v>
      </x:c>
      <x:c r="L398" t="str">
        <x:v>Win</x:v>
      </x:c>
      <x:c r="M398" t="str"/>
      <x:c r="N398" t="n">
        <x:v>0</x:v>
      </x:c>
      <x:c r="O398" t="n">
        <x:v>1</x:v>
      </x:c>
      <x:c r="P398" t="str">
        <x:v>Diamond I</x:v>
      </x:c>
      <x:c r="Q398" t="n">
        <x:v>4403</x:v>
      </x:c>
      <x:c r="R398" s="14" t="n">
        <x:v>22</x:v>
      </x:c>
      <x:c r="S398" t="n">
        <x:v>12</x:v>
      </x:c>
      <x:c r="T398" t="n">
        <x:v>3</x:v>
      </x:c>
      <x:c r="U398" t="n">
        <x:v>12</x:v>
      </x:c>
      <x:c r="V398" s="16" t="n">
        <x:v>8</x:v>
      </x:c>
      <x:c r="W398" t="str">
        <x:v>Parsed from Tracker.gg MHTML/PDF export; competitive rows only.</x:v>
      </x:c>
      <x:c r="X398" t="n">
        <x:f>IF(L398="Win",1,0)</x:f>
        <x:v>1</x:v>
      </x:c>
      <x:c r="Y398" s="14" t="n">
        <x:f>IF(L398="Loss",1,0)</x:f>
        <x:v>0</x:v>
      </x:c>
      <x:c r="Z398" t="n">
        <x:f>IF(L398="Draw/Unknown",1,0)</x:f>
        <x:v>0</x:v>
      </x:c>
      <x:c r="AA398" s="16" t="str">
        <x:f>IF(OR(N398="",O398=""),"",N398-O398)</x:f>
      </x:c>
      <x:c r="AB398" s="16" t="n">
        <x:f>IF(T398=0,S398+U398,(S398+U398)/T398)</x:f>
        <x:v>8</x:v>
      </x:c>
      <x:c r="AC398" t="n">
        <x:f>S398+U398</x:f>
        <x:v>24</x:v>
      </x:c>
      <x:c r="AD398" t="n">
        <x:f>IF(T398=0,1,0)</x:f>
        <x:v>0</x:v>
      </x:c>
      <x:c r="AE398" t="str">
        <x:f>IF(R398&gt;0,"Gain",IF(R398&lt;0,"Loss","Neutral"))</x:f>
        <x:v>Gain</x:v>
      </x:c>
    </x:row>
    <x:row r="399">
      <x:c r="A399" t="n">
        <x:v>398</x:v>
      </x:c>
      <x:c r="B399" s="12" t="n">
        <x:v>46075</x:v>
      </x:c>
      <x:c r="C399" t="str">
        <x:v>Feb 22</x:v>
      </x:c>
      <x:c r="D399" t="n">
        <x:v>12</x:v>
      </x:c>
      <x:c r="E399" t="n">
        <x:v>5</x:v>
      </x:c>
      <x:c r="F399" s="14" t="n">
        <x:v>7</x:v>
      </x:c>
      <x:c r="G399" t="str">
        <x:v>3mo ago</x:v>
      </x:c>
      <x:c r="H399" t="str">
        <x:v>Competitive</x:v>
      </x:c>
      <x:c r="I399" t="str">
        <x:v>Convergence</x:v>
      </x:c>
      <x:c r="J399" t="str">
        <x:v>Heart Of Heaven</x:v>
      </x:c>
      <x:c r="K399" t="str">
        <x:v>The Thing</x:v>
      </x:c>
      <x:c r="L399" t="str">
        <x:v>Win</x:v>
      </x:c>
      <x:c r="M399" t="str"/>
      <x:c r="N399" t="n">
        <x:v>2</x:v>
      </x:c>
      <x:c r="O399" t="n">
        <x:v>3</x:v>
      </x:c>
      <x:c r="P399" t="str">
        <x:v>Diamond II</x:v>
      </x:c>
      <x:c r="Q399" t="n">
        <x:v>4380</x:v>
      </x:c>
      <x:c r="R399" s="14" t="n">
        <x:v>21</x:v>
      </x:c>
      <x:c r="S399" t="n">
        <x:v>25</x:v>
      </x:c>
      <x:c r="T399" t="n">
        <x:v>12</x:v>
      </x:c>
      <x:c r="U399" t="n">
        <x:v>17</x:v>
      </x:c>
      <x:c r="V399" s="16" t="n">
        <x:v>3.5</x:v>
      </x:c>
      <x:c r="W399" t="str">
        <x:v>Parsed from Tracker.gg MHTML/PDF export; competitive rows only.</x:v>
      </x:c>
      <x:c r="X399" t="n">
        <x:f>IF(L399="Win",1,0)</x:f>
        <x:v>1</x:v>
      </x:c>
      <x:c r="Y399" s="14" t="n">
        <x:f>IF(L399="Loss",1,0)</x:f>
        <x:v>0</x:v>
      </x:c>
      <x:c r="Z399" t="n">
        <x:f>IF(L399="Draw/Unknown",1,0)</x:f>
        <x:v>0</x:v>
      </x:c>
      <x:c r="AA399" s="16" t="n">
        <x:f>IF(OR(N399="",O399=""),"",N399-O399)</x:f>
        <x:v>-1</x:v>
      </x:c>
      <x:c r="AB399" s="16" t="n">
        <x:f>IF(T399=0,S399+U399,(S399+U399)/T399)</x:f>
        <x:v>3.5</x:v>
      </x:c>
      <x:c r="AC399" t="n">
        <x:f>S399+U399</x:f>
        <x:v>42</x:v>
      </x:c>
      <x:c r="AD399" t="n">
        <x:f>IF(T399=0,1,0)</x:f>
        <x:v>0</x:v>
      </x:c>
      <x:c r="AE399" t="str">
        <x:f>IF(R399&gt;0,"Gain",IF(R399&lt;0,"Loss","Neutral"))</x:f>
        <x:v>Gain</x:v>
      </x:c>
    </x:row>
    <x:row r="400">
      <x:c r="A400" t="n">
        <x:v>399</x:v>
      </x:c>
      <x:c r="B400" s="12" t="n">
        <x:v>46075</x:v>
      </x:c>
      <x:c r="C400" t="str">
        <x:v>Feb 22</x:v>
      </x:c>
      <x:c r="D400" t="n">
        <x:v>12</x:v>
      </x:c>
      <x:c r="E400" t="n">
        <x:v>5</x:v>
      </x:c>
      <x:c r="F400" s="14" t="n">
        <x:v>7</x:v>
      </x:c>
      <x:c r="G400" t="str">
        <x:v>3mo ago</x:v>
      </x:c>
      <x:c r="H400" t="str">
        <x:v>Competitive</x:v>
      </x:c>
      <x:c r="I400" t="str">
        <x:v>Domination</x:v>
      </x:c>
      <x:c r="J400" t="str">
        <x:v>Birnin T'Challa</x:v>
      </x:c>
      <x:c r="K400" t="str">
        <x:v>The Thing</x:v>
      </x:c>
      <x:c r="L400" t="str">
        <x:v>Win</x:v>
      </x:c>
      <x:c r="M400" t="str"/>
      <x:c r="N400" t="n">
        <x:v>1</x:v>
      </x:c>
      <x:c r="O400" t="n">
        <x:v>2</x:v>
      </x:c>
      <x:c r="P400" t="str">
        <x:v>Diamond II</x:v>
      </x:c>
      <x:c r="Q400" t="n">
        <x:v>4358</x:v>
      </x:c>
      <x:c r="R400" s="14" t="n">
        <x:v>20</x:v>
      </x:c>
      <x:c r="S400" t="n">
        <x:v>25</x:v>
      </x:c>
      <x:c r="T400" t="n">
        <x:v>12</x:v>
      </x:c>
      <x:c r="U400" t="n">
        <x:v>10</x:v>
      </x:c>
      <x:c r="V400" s="16" t="n">
        <x:v>2.92</x:v>
      </x:c>
      <x:c r="W400" t="str">
        <x:v>Parsed from Tracker.gg MHTML/PDF export; competitive rows only.</x:v>
      </x:c>
      <x:c r="X400" t="n">
        <x:f>IF(L400="Win",1,0)</x:f>
        <x:v>1</x:v>
      </x:c>
      <x:c r="Y400" s="14" t="n">
        <x:f>IF(L400="Loss",1,0)</x:f>
        <x:v>0</x:v>
      </x:c>
      <x:c r="Z400" t="n">
        <x:f>IF(L400="Draw/Unknown",1,0)</x:f>
        <x:v>0</x:v>
      </x:c>
      <x:c r="AA400" s="16" t="n">
        <x:f>IF(OR(N400="",O400=""),"",N400-O400)</x:f>
        <x:v>-1</x:v>
      </x:c>
      <x:c r="AB400" s="16" t="n">
        <x:f>IF(T400=0,S400+U400,(S400+U400)/T400)</x:f>
        <x:v>2.9166666666666665</x:v>
      </x:c>
      <x:c r="AC400" t="n">
        <x:f>S400+U400</x:f>
        <x:v>35</x:v>
      </x:c>
      <x:c r="AD400" t="n">
        <x:f>IF(T400=0,1,0)</x:f>
        <x:v>0</x:v>
      </x:c>
      <x:c r="AE400" t="str">
        <x:f>IF(R400&gt;0,"Gain",IF(R400&lt;0,"Loss","Neutral"))</x:f>
        <x:v>Gain</x:v>
      </x:c>
    </x:row>
    <x:row r="401">
      <x:c r="A401" t="n">
        <x:v>400</x:v>
      </x:c>
      <x:c r="B401" s="12" t="n">
        <x:v>46075</x:v>
      </x:c>
      <x:c r="C401" t="str">
        <x:v>Feb 22</x:v>
      </x:c>
      <x:c r="D401" t="n">
        <x:v>12</x:v>
      </x:c>
      <x:c r="E401" t="n">
        <x:v>5</x:v>
      </x:c>
      <x:c r="F401" s="14" t="n">
        <x:v>7</x:v>
      </x:c>
      <x:c r="G401" t="str">
        <x:v>3mo ago</x:v>
      </x:c>
      <x:c r="H401" t="str">
        <x:v>Competitive</x:v>
      </x:c>
      <x:c r="I401" t="str">
        <x:v>Convoy</x:v>
      </x:c>
      <x:c r="J401" t="str">
        <x:v>Yggdrasill Path</x:v>
      </x:c>
      <x:c r="K401" t="str">
        <x:v>The Thing</x:v>
      </x:c>
      <x:c r="L401" t="str">
        <x:v>Loss</x:v>
      </x:c>
      <x:c r="M401" t="str">
        <x:v>SVP</x:v>
      </x:c>
      <x:c r="N401" t="n">
        <x:v>2</x:v>
      </x:c>
      <x:c r="O401" t="n">
        <x:v>1</x:v>
      </x:c>
      <x:c r="P401" t="str">
        <x:v>Diamond II</x:v>
      </x:c>
      <x:c r="Q401" t="n">
        <x:v>4338</x:v>
      </x:c>
      <x:c r="R401" s="14" t="n">
        <x:v>-21</x:v>
      </x:c>
      <x:c r="S401" t="n">
        <x:v>21</x:v>
      </x:c>
      <x:c r="T401" t="n">
        <x:v>9</x:v>
      </x:c>
      <x:c r="U401" t="n">
        <x:v>9</x:v>
      </x:c>
      <x:c r="V401" s="16" t="n">
        <x:v>3.33</x:v>
      </x:c>
      <x:c r="W401" t="str">
        <x:v>Parsed from Tracker.gg MHTML/PDF export; competitive rows only.</x:v>
      </x:c>
      <x:c r="X401" t="n">
        <x:f>IF(L401="Win",1,0)</x:f>
        <x:v>0</x:v>
      </x:c>
      <x:c r="Y401" s="14" t="n">
        <x:f>IF(L401="Loss",1,0)</x:f>
        <x:v>1</x:v>
      </x:c>
      <x:c r="Z401" t="n">
        <x:f>IF(L401="Draw/Unknown",1,0)</x:f>
        <x:v>0</x:v>
      </x:c>
      <x:c r="AA401" s="16" t="n">
        <x:f>IF(OR(N401="",O401=""),"",N401-O401)</x:f>
        <x:v>1</x:v>
      </x:c>
      <x:c r="AB401" s="16" t="n">
        <x:f>IF(T401=0,S401+U401,(S401+U401)/T401)</x:f>
        <x:v>3.3333333333333335</x:v>
      </x:c>
      <x:c r="AC401" t="n">
        <x:f>S401+U401</x:f>
        <x:v>30</x:v>
      </x:c>
      <x:c r="AD401" t="n">
        <x:f>IF(T401=0,1,0)</x:f>
        <x:v>0</x:v>
      </x:c>
      <x:c r="AE401" t="str">
        <x:f>IF(R401&gt;0,"Gain",IF(R401&lt;0,"Loss","Neutral"))</x:f>
        <x:v>Loss</x:v>
      </x:c>
    </x:row>
    <x:row r="402">
      <x:c r="A402" t="n">
        <x:v>401</x:v>
      </x:c>
      <x:c r="B402" s="12" t="n">
        <x:v>46075</x:v>
      </x:c>
      <x:c r="C402" t="str">
        <x:v>Feb 22</x:v>
      </x:c>
      <x:c r="D402" t="n">
        <x:v>12</x:v>
      </x:c>
      <x:c r="E402" t="n">
        <x:v>5</x:v>
      </x:c>
      <x:c r="F402" s="14" t="n">
        <x:v>7</x:v>
      </x:c>
      <x:c r="G402" t="str">
        <x:v>3mo ago</x:v>
      </x:c>
      <x:c r="H402" t="str">
        <x:v>Competitive</x:v>
      </x:c>
      <x:c r="I402" t="str">
        <x:v>Convoy</x:v>
      </x:c>
      <x:c r="J402" t="str">
        <x:v>Midtown</x:v>
      </x:c>
      <x:c r="K402" t="str">
        <x:v>The Thing</x:v>
      </x:c>
      <x:c r="L402" t="str">
        <x:v>Loss</x:v>
      </x:c>
      <x:c r="M402" t="str">
        <x:v>SVP</x:v>
      </x:c>
      <x:c r="N402" t="n">
        <x:v>3</x:v>
      </x:c>
      <x:c r="O402" t="n">
        <x:v>2</x:v>
      </x:c>
      <x:c r="P402" t="str">
        <x:v>Diamond II</x:v>
      </x:c>
      <x:c r="Q402" t="n">
        <x:v>4358</x:v>
      </x:c>
      <x:c r="R402" s="14" t="n">
        <x:v>-22</x:v>
      </x:c>
      <x:c r="S402" t="n">
        <x:v>27</x:v>
      </x:c>
      <x:c r="T402" t="n">
        <x:v>12</x:v>
      </x:c>
      <x:c r="U402" t="n">
        <x:v>15</x:v>
      </x:c>
      <x:c r="V402" s="16" t="n">
        <x:v>3.5</x:v>
      </x:c>
      <x:c r="W402" t="str">
        <x:v>Parsed from Tracker.gg MHTML/PDF export; competitive rows only.</x:v>
      </x:c>
      <x:c r="X402" t="n">
        <x:f>IF(L402="Win",1,0)</x:f>
        <x:v>0</x:v>
      </x:c>
      <x:c r="Y402" s="14" t="n">
        <x:f>IF(L402="Loss",1,0)</x:f>
        <x:v>1</x:v>
      </x:c>
      <x:c r="Z402" t="n">
        <x:f>IF(L402="Draw/Unknown",1,0)</x:f>
        <x:v>0</x:v>
      </x:c>
      <x:c r="AA402" s="16" t="n">
        <x:f>IF(OR(N402="",O402=""),"",N402-O402)</x:f>
        <x:v>1</x:v>
      </x:c>
      <x:c r="AB402" s="16" t="n">
        <x:f>IF(T402=0,S402+U402,(S402+U402)/T402)</x:f>
        <x:v>3.5</x:v>
      </x:c>
      <x:c r="AC402" t="n">
        <x:f>S402+U402</x:f>
        <x:v>42</x:v>
      </x:c>
      <x:c r="AD402" t="n">
        <x:f>IF(T402=0,1,0)</x:f>
        <x:v>0</x:v>
      </x:c>
      <x:c r="AE402" t="str">
        <x:f>IF(R402&gt;0,"Gain",IF(R402&lt;0,"Loss","Neutral"))</x:f>
        <x:v>Loss</x:v>
      </x:c>
    </x:row>
    <x:row r="403">
      <x:c r="A403" t="n">
        <x:v>402</x:v>
      </x:c>
      <x:c r="B403" s="12" t="n">
        <x:v>46075</x:v>
      </x:c>
      <x:c r="C403" t="str">
        <x:v>Feb 22</x:v>
      </x:c>
      <x:c r="D403" t="n">
        <x:v>12</x:v>
      </x:c>
      <x:c r="E403" t="n">
        <x:v>5</x:v>
      </x:c>
      <x:c r="F403" s="14" t="n">
        <x:v>7</x:v>
      </x:c>
      <x:c r="G403" t="str">
        <x:v>3mo ago</x:v>
      </x:c>
      <x:c r="H403" t="str">
        <x:v>Competitive</x:v>
      </x:c>
      <x:c r="I403" t="str">
        <x:v>Convergence</x:v>
      </x:c>
      <x:c r="J403" t="str">
        <x:v>Hall Of Djalia</x:v>
      </x:c>
      <x:c r="K403" t="str">
        <x:v>Groot</x:v>
      </x:c>
      <x:c r="L403" t="str">
        <x:v>Loss</x:v>
      </x:c>
      <x:c r="M403" t="str"/>
      <x:c r="N403" t="n">
        <x:v>2</x:v>
      </x:c>
      <x:c r="O403" t="n">
        <x:v>0</x:v>
      </x:c>
      <x:c r="P403" t="str">
        <x:v>Diamond I</x:v>
      </x:c>
      <x:c r="Q403" t="n">
        <x:v>4380</x:v>
      </x:c>
      <x:c r="R403" s="14" t="n">
        <x:v>-24</x:v>
      </x:c>
      <x:c r="S403" t="n">
        <x:v>12</x:v>
      </x:c>
      <x:c r="T403" t="n">
        <x:v>11</x:v>
      </x:c>
      <x:c r="U403" t="n">
        <x:v>5</x:v>
      </x:c>
      <x:c r="V403" s="16" t="n">
        <x:v>1.55</x:v>
      </x:c>
      <x:c r="W403" t="str">
        <x:v>Parsed from Tracker.gg MHTML/PDF export; competitive rows only.</x:v>
      </x:c>
      <x:c r="X403" t="n">
        <x:f>IF(L403="Win",1,0)</x:f>
        <x:v>0</x:v>
      </x:c>
      <x:c r="Y403" s="14" t="n">
        <x:f>IF(L403="Loss",1,0)</x:f>
        <x:v>1</x:v>
      </x:c>
      <x:c r="Z403" t="n">
        <x:f>IF(L403="Draw/Unknown",1,0)</x:f>
        <x:v>0</x:v>
      </x:c>
      <x:c r="AA403" s="16" t="str">
        <x:f>IF(OR(N403="",O403=""),"",N403-O403)</x:f>
      </x:c>
      <x:c r="AB403" s="16" t="n">
        <x:f>IF(T403=0,S403+U403,(S403+U403)/T403)</x:f>
        <x:v>1.5454545454545454</x:v>
      </x:c>
      <x:c r="AC403" t="n">
        <x:f>S403+U403</x:f>
        <x:v>17</x:v>
      </x:c>
      <x:c r="AD403" t="n">
        <x:f>IF(T403=0,1,0)</x:f>
        <x:v>0</x:v>
      </x:c>
      <x:c r="AE403" t="str">
        <x:f>IF(R403&gt;0,"Gain",IF(R403&lt;0,"Loss","Neutral"))</x:f>
        <x:v>Loss</x:v>
      </x:c>
    </x:row>
    <x:row r="404">
      <x:c r="A404" t="n">
        <x:v>403</x:v>
      </x:c>
      <x:c r="B404" s="12" t="n">
        <x:v>46075</x:v>
      </x:c>
      <x:c r="C404" t="str">
        <x:v>Feb 22</x:v>
      </x:c>
      <x:c r="D404" t="n">
        <x:v>12</x:v>
      </x:c>
      <x:c r="E404" t="n">
        <x:v>5</x:v>
      </x:c>
      <x:c r="F404" s="14" t="n">
        <x:v>7</x:v>
      </x:c>
      <x:c r="G404" t="str">
        <x:v>3mo ago</x:v>
      </x:c>
      <x:c r="H404" t="str">
        <x:v>Competitive</x:v>
      </x:c>
      <x:c r="I404" t="str">
        <x:v>Convoy</x:v>
      </x:c>
      <x:c r="J404" t="str">
        <x:v>Arakko</x:v>
      </x:c>
      <x:c r="K404" t="str">
        <x:v>The Thing</x:v>
      </x:c>
      <x:c r="L404" t="str">
        <x:v>Loss</x:v>
      </x:c>
      <x:c r="M404" t="str"/>
      <x:c r="N404" t="n">
        <x:v>1</x:v>
      </x:c>
      <x:c r="O404" t="n">
        <x:v>2</x:v>
      </x:c>
      <x:c r="P404" t="str">
        <x:v>Diamond I</x:v>
      </x:c>
      <x:c r="Q404" t="n">
        <x:v>4403</x:v>
      </x:c>
      <x:c r="R404" s="14" t="n">
        <x:v>-23</x:v>
      </x:c>
      <x:c r="S404" t="n">
        <x:v>13</x:v>
      </x:c>
      <x:c r="T404" t="n">
        <x:v>10</x:v>
      </x:c>
      <x:c r="U404" t="n">
        <x:v>8</x:v>
      </x:c>
      <x:c r="V404" s="16" t="n">
        <x:v>2.1</x:v>
      </x:c>
      <x:c r="W404" t="str">
        <x:v>Parsed from Tracker.gg MHTML/PDF export; competitive rows only.</x:v>
      </x:c>
      <x:c r="X404" t="n">
        <x:f>IF(L404="Win",1,0)</x:f>
        <x:v>0</x:v>
      </x:c>
      <x:c r="Y404" s="14" t="n">
        <x:f>IF(L404="Loss",1,0)</x:f>
        <x:v>1</x:v>
      </x:c>
      <x:c r="Z404" t="n">
        <x:f>IF(L404="Draw/Unknown",1,0)</x:f>
        <x:v>0</x:v>
      </x:c>
      <x:c r="AA404" s="16" t="n">
        <x:f>IF(OR(N404="",O404=""),"",N404-O404)</x:f>
        <x:v>-1</x:v>
      </x:c>
      <x:c r="AB404" s="16" t="n">
        <x:f>IF(T404=0,S404+U404,(S404+U404)/T404)</x:f>
        <x:v>2.1</x:v>
      </x:c>
      <x:c r="AC404" t="n">
        <x:f>S404+U404</x:f>
        <x:v>21</x:v>
      </x:c>
      <x:c r="AD404" t="n">
        <x:f>IF(T404=0,1,0)</x:f>
        <x:v>0</x:v>
      </x:c>
      <x:c r="AE404" t="str">
        <x:f>IF(R404&gt;0,"Gain",IF(R404&lt;0,"Loss","Neutral"))</x:f>
        <x:v>Loss</x:v>
      </x:c>
    </x:row>
    <x:row r="405">
      <x:c r="A405" t="n">
        <x:v>404</x:v>
      </x:c>
      <x:c r="B405" s="12" t="n">
        <x:v>46073</x:v>
      </x:c>
      <x:c r="C405" t="str">
        <x:v>Feb 20</x:v>
      </x:c>
      <x:c r="D405" t="n">
        <x:v>5</x:v>
      </x:c>
      <x:c r="E405" t="n">
        <x:v>1</x:v>
      </x:c>
      <x:c r="F405" s="14" t="n">
        <x:v>4</x:v>
      </x:c>
      <x:c r="G405" t="str">
        <x:v>3mo ago</x:v>
      </x:c>
      <x:c r="H405" t="str">
        <x:v>Competitive</x:v>
      </x:c>
      <x:c r="I405" t="str">
        <x:v>Convergence</x:v>
      </x:c>
      <x:c r="J405" t="str">
        <x:v>Symbiotic Surface</x:v>
      </x:c>
      <x:c r="K405" t="str">
        <x:v>The Thing</x:v>
      </x:c>
      <x:c r="L405" t="str">
        <x:v>Loss</x:v>
      </x:c>
      <x:c r="M405" t="str"/>
      <x:c r="N405" t="n">
        <x:v>2</x:v>
      </x:c>
      <x:c r="O405" t="n">
        <x:v>1</x:v>
      </x:c>
      <x:c r="P405" t="str">
        <x:v>Diamond I</x:v>
      </x:c>
      <x:c r="Q405" t="n">
        <x:v>4425</x:v>
      </x:c>
      <x:c r="R405" s="14" t="n">
        <x:v>-20</x:v>
      </x:c>
      <x:c r="S405" t="n">
        <x:v>17</x:v>
      </x:c>
      <x:c r="T405" t="n">
        <x:v>15</x:v>
      </x:c>
      <x:c r="U405" t="n">
        <x:v>3</x:v>
      </x:c>
      <x:c r="V405" s="16" t="n">
        <x:v>1.33</x:v>
      </x:c>
      <x:c r="W405" t="str">
        <x:v>Parsed from Tracker.gg MHTML/PDF export; competitive rows only.</x:v>
      </x:c>
      <x:c r="X405" t="n">
        <x:f>IF(L405="Win",1,0)</x:f>
        <x:v>0</x:v>
      </x:c>
      <x:c r="Y405" s="14" t="n">
        <x:f>IF(L405="Loss",1,0)</x:f>
        <x:v>1</x:v>
      </x:c>
      <x:c r="Z405" t="n">
        <x:f>IF(L405="Draw/Unknown",1,0)</x:f>
        <x:v>0</x:v>
      </x:c>
      <x:c r="AA405" s="16" t="n">
        <x:f>IF(OR(N405="",O405=""),"",N405-O405)</x:f>
        <x:v>1</x:v>
      </x:c>
      <x:c r="AB405" s="16" t="n">
        <x:f>IF(T405=0,S405+U405,(S405+U405)/T405)</x:f>
        <x:v>1.3333333333333333</x:v>
      </x:c>
      <x:c r="AC405" t="n">
        <x:f>S405+U405</x:f>
        <x:v>20</x:v>
      </x:c>
      <x:c r="AD405" t="n">
        <x:f>IF(T405=0,1,0)</x:f>
        <x:v>0</x:v>
      </x:c>
      <x:c r="AE405" t="str">
        <x:f>IF(R405&gt;0,"Gain",IF(R405&lt;0,"Loss","Neutral"))</x:f>
        <x:v>Loss</x:v>
      </x:c>
    </x:row>
    <x:row r="406">
      <x:c r="A406" t="n">
        <x:v>405</x:v>
      </x:c>
      <x:c r="B406" s="12" t="n">
        <x:v>46073</x:v>
      </x:c>
      <x:c r="C406" t="str">
        <x:v>Feb 20</x:v>
      </x:c>
      <x:c r="D406" t="n">
        <x:v>5</x:v>
      </x:c>
      <x:c r="E406" t="n">
        <x:v>1</x:v>
      </x:c>
      <x:c r="F406" s="14" t="n">
        <x:v>4</x:v>
      </x:c>
      <x:c r="G406" t="str">
        <x:v>3mo ago</x:v>
      </x:c>
      <x:c r="H406" t="str">
        <x:v>Competitive</x:v>
      </x:c>
      <x:c r="I406" t="str">
        <x:v>Domination</x:v>
      </x:c>
      <x:c r="J406" t="str">
        <x:v>Krakoa</x:v>
      </x:c>
      <x:c r="K406" t="str">
        <x:v>Groot</x:v>
      </x:c>
      <x:c r="L406" t="str">
        <x:v>Loss</x:v>
      </x:c>
      <x:c r="M406" t="str"/>
      <x:c r="N406" t="n">
        <x:v>1</x:v>
      </x:c>
      <x:c r="O406" t="n">
        <x:v>2</x:v>
      </x:c>
      <x:c r="P406" t="str">
        <x:v>Diamond I</x:v>
      </x:c>
      <x:c r="Q406" t="n">
        <x:v>4445</x:v>
      </x:c>
      <x:c r="R406" s="14" t="n">
        <x:v>-22</x:v>
      </x:c>
      <x:c r="S406" t="n">
        <x:v>17</x:v>
      </x:c>
      <x:c r="T406" t="n">
        <x:v>10</x:v>
      </x:c>
      <x:c r="U406" t="n">
        <x:v>0</x:v>
      </x:c>
      <x:c r="V406" s="16" t="n">
        <x:v>1.7</x:v>
      </x:c>
      <x:c r="W406" t="str">
        <x:v>Parsed from Tracker.gg MHTML/PDF export; competitive rows only.</x:v>
      </x:c>
      <x:c r="X406" t="n">
        <x:f>IF(L406="Win",1,0)</x:f>
        <x:v>0</x:v>
      </x:c>
      <x:c r="Y406" s="14" t="n">
        <x:f>IF(L406="Loss",1,0)</x:f>
        <x:v>1</x:v>
      </x:c>
      <x:c r="Z406" t="n">
        <x:f>IF(L406="Draw/Unknown",1,0)</x:f>
        <x:v>0</x:v>
      </x:c>
      <x:c r="AA406" s="16" t="n">
        <x:f>IF(OR(N406="",O406=""),"",N406-O406)</x:f>
        <x:v>-1</x:v>
      </x:c>
      <x:c r="AB406" s="16" t="n">
        <x:f>IF(T406=0,S406+U406,(S406+U406)/T406)</x:f>
        <x:v>1.7</x:v>
      </x:c>
      <x:c r="AC406" t="n">
        <x:f>S406+U406</x:f>
        <x:v>17</x:v>
      </x:c>
      <x:c r="AD406" t="n">
        <x:f>IF(T406=0,1,0)</x:f>
        <x:v>0</x:v>
      </x:c>
      <x:c r="AE406" t="str">
        <x:f>IF(R406&gt;0,"Gain",IF(R406&lt;0,"Loss","Neutral"))</x:f>
        <x:v>Loss</x:v>
      </x:c>
    </x:row>
    <x:row r="407">
      <x:c r="A407" t="n">
        <x:v>406</x:v>
      </x:c>
      <x:c r="B407" s="12" t="n">
        <x:v>46073</x:v>
      </x:c>
      <x:c r="C407" t="str">
        <x:v>Feb 20</x:v>
      </x:c>
      <x:c r="D407" t="n">
        <x:v>5</x:v>
      </x:c>
      <x:c r="E407" t="n">
        <x:v>1</x:v>
      </x:c>
      <x:c r="F407" s="14" t="n">
        <x:v>4</x:v>
      </x:c>
      <x:c r="G407" t="str">
        <x:v>3mo ago</x:v>
      </x:c>
      <x:c r="H407" t="str">
        <x:v>Competitive</x:v>
      </x:c>
      <x:c r="I407" t="str">
        <x:v>Convoy</x:v>
      </x:c>
      <x:c r="J407" t="str">
        <x:v>Spider-Islands</x:v>
      </x:c>
      <x:c r="K407" t="str">
        <x:v>The Thing</x:v>
      </x:c>
      <x:c r="L407" t="str">
        <x:v>Loss</x:v>
      </x:c>
      <x:c r="M407" t="str">
        <x:v>SVP</x:v>
      </x:c>
      <x:c r="N407" t="n">
        <x:v>2</x:v>
      </x:c>
      <x:c r="O407" t="n">
        <x:v>1</x:v>
      </x:c>
      <x:c r="P407" t="str">
        <x:v>Diamond I</x:v>
      </x:c>
      <x:c r="Q407" t="n">
        <x:v>4467</x:v>
      </x:c>
      <x:c r="R407" s="14" t="n">
        <x:v>-22</x:v>
      </x:c>
      <x:c r="S407" t="n">
        <x:v>10</x:v>
      </x:c>
      <x:c r="T407" t="n">
        <x:v>17</x:v>
      </x:c>
      <x:c r="U407" t="n">
        <x:v>3</x:v>
      </x:c>
      <x:c r="V407" s="16" t="n">
        <x:v>0.76</x:v>
      </x:c>
      <x:c r="W407" t="str">
        <x:v>Parsed from Tracker.gg MHTML/PDF export; competitive rows only.</x:v>
      </x:c>
      <x:c r="X407" t="n">
        <x:f>IF(L407="Win",1,0)</x:f>
        <x:v>0</x:v>
      </x:c>
      <x:c r="Y407" s="14" t="n">
        <x:f>IF(L407="Loss",1,0)</x:f>
        <x:v>1</x:v>
      </x:c>
      <x:c r="Z407" t="n">
        <x:f>IF(L407="Draw/Unknown",1,0)</x:f>
        <x:v>0</x:v>
      </x:c>
      <x:c r="AA407" s="16" t="n">
        <x:f>IF(OR(N407="",O407=""),"",N407-O407)</x:f>
        <x:v>1</x:v>
      </x:c>
      <x:c r="AB407" s="16" t="n">
        <x:f>IF(T407=0,S407+U407,(S407+U407)/T407)</x:f>
        <x:v>0.7647058823529411</x:v>
      </x:c>
      <x:c r="AC407" t="n">
        <x:f>S407+U407</x:f>
        <x:v>13</x:v>
      </x:c>
      <x:c r="AD407" t="n">
        <x:f>IF(T407=0,1,0)</x:f>
        <x:v>0</x:v>
      </x:c>
      <x:c r="AE407" t="str">
        <x:f>IF(R407&gt;0,"Gain",IF(R407&lt;0,"Loss","Neutral"))</x:f>
        <x:v>Loss</x:v>
      </x:c>
    </x:row>
    <x:row r="408">
      <x:c r="A408" t="n">
        <x:v>407</x:v>
      </x:c>
      <x:c r="B408" s="12" t="n">
        <x:v>46073</x:v>
      </x:c>
      <x:c r="C408" t="str">
        <x:v>Feb 20</x:v>
      </x:c>
      <x:c r="D408" t="n">
        <x:v>5</x:v>
      </x:c>
      <x:c r="E408" t="n">
        <x:v>1</x:v>
      </x:c>
      <x:c r="F408" s="14" t="n">
        <x:v>4</x:v>
      </x:c>
      <x:c r="G408" t="str">
        <x:v>3mo ago</x:v>
      </x:c>
      <x:c r="H408" t="str">
        <x:v>Competitive</x:v>
      </x:c>
      <x:c r="I408" t="str">
        <x:v>Domination</x:v>
      </x:c>
      <x:c r="J408" t="str">
        <x:v>Celestial Husk</x:v>
      </x:c>
      <x:c r="K408" t="str">
        <x:v>The Thing</x:v>
      </x:c>
      <x:c r="L408" t="str">
        <x:v>Win</x:v>
      </x:c>
      <x:c r="M408" t="str">
        <x:v>MVP</x:v>
      </x:c>
      <x:c r="N408" t="n">
        <x:v>1</x:v>
      </x:c>
      <x:c r="O408" t="n">
        <x:v>2</x:v>
      </x:c>
      <x:c r="P408" t="str">
        <x:v>Diamond I</x:v>
      </x:c>
      <x:c r="Q408" t="n">
        <x:v>4488</x:v>
      </x:c>
      <x:c r="R408" s="14" t="n">
        <x:v>27</x:v>
      </x:c>
      <x:c r="S408" t="n">
        <x:v>25</x:v>
      </x:c>
      <x:c r="T408" t="n">
        <x:v>7</x:v>
      </x:c>
      <x:c r="U408" t="n">
        <x:v>13</x:v>
      </x:c>
      <x:c r="V408" s="16" t="n">
        <x:v>5.43</x:v>
      </x:c>
      <x:c r="W408" t="str">
        <x:v>Parsed from Tracker.gg MHTML/PDF export; competitive rows only.</x:v>
      </x:c>
      <x:c r="X408" t="n">
        <x:f>IF(L408="Win",1,0)</x:f>
        <x:v>1</x:v>
      </x:c>
      <x:c r="Y408" s="14" t="n">
        <x:f>IF(L408="Loss",1,0)</x:f>
        <x:v>0</x:v>
      </x:c>
      <x:c r="Z408" t="n">
        <x:f>IF(L408="Draw/Unknown",1,0)</x:f>
        <x:v>0</x:v>
      </x:c>
      <x:c r="AA408" s="16" t="n">
        <x:f>IF(OR(N408="",O408=""),"",N408-O408)</x:f>
        <x:v>-1</x:v>
      </x:c>
      <x:c r="AB408" s="16" t="n">
        <x:f>IF(T408=0,S408+U408,(S408+U408)/T408)</x:f>
        <x:v>5.428571428571429</x:v>
      </x:c>
      <x:c r="AC408" t="n">
        <x:f>S408+U408</x:f>
        <x:v>38</x:v>
      </x:c>
      <x:c r="AD408" t="n">
        <x:f>IF(T408=0,1,0)</x:f>
        <x:v>0</x:v>
      </x:c>
      <x:c r="AE408" t="str">
        <x:f>IF(R408&gt;0,"Gain",IF(R408&lt;0,"Loss","Neutral"))</x:f>
        <x:v>Gain</x:v>
      </x:c>
    </x:row>
    <x:row r="409">
      <x:c r="A409" t="n">
        <x:v>408</x:v>
      </x:c>
      <x:c r="B409" s="12" t="n">
        <x:v>46073</x:v>
      </x:c>
      <x:c r="C409" t="str">
        <x:v>Feb 20</x:v>
      </x:c>
      <x:c r="D409" t="n">
        <x:v>5</x:v>
      </x:c>
      <x:c r="E409" t="n">
        <x:v>1</x:v>
      </x:c>
      <x:c r="F409" s="14" t="n">
        <x:v>4</x:v>
      </x:c>
      <x:c r="G409" t="str">
        <x:v>3mo ago</x:v>
      </x:c>
      <x:c r="H409" t="str">
        <x:v>Competitive</x:v>
      </x:c>
      <x:c r="I409" t="str">
        <x:v>Convergence</x:v>
      </x:c>
      <x:c r="J409" t="str">
        <x:v>Hall Of Djalia</x:v>
      </x:c>
      <x:c r="K409" t="str">
        <x:v>Peni Parker</x:v>
      </x:c>
      <x:c r="L409" t="str">
        <x:v>Loss</x:v>
      </x:c>
      <x:c r="M409" t="str"/>
      <x:c r="N409" t="n">
        <x:v>1</x:v>
      </x:c>
      <x:c r="O409" t="n">
        <x:v>2</x:v>
      </x:c>
      <x:c r="P409" t="str">
        <x:v>Diamond I</x:v>
      </x:c>
      <x:c r="Q409" t="n">
        <x:v>4460</x:v>
      </x:c>
      <x:c r="R409" s="14" t="n">
        <x:v>-26</x:v>
      </x:c>
      <x:c r="S409" t="n">
        <x:v>8</x:v>
      </x:c>
      <x:c r="T409" t="n">
        <x:v>10</x:v>
      </x:c>
      <x:c r="U409" t="n">
        <x:v>2</x:v>
      </x:c>
      <x:c r="V409" s="16" t="n">
        <x:v>1</x:v>
      </x:c>
      <x:c r="W409" t="str">
        <x:v>Parsed from Tracker.gg MHTML/PDF export; competitive rows only.</x:v>
      </x:c>
      <x:c r="X409" t="n">
        <x:f>IF(L409="Win",1,0)</x:f>
        <x:v>0</x:v>
      </x:c>
      <x:c r="Y409" s="14" t="n">
        <x:f>IF(L409="Loss",1,0)</x:f>
        <x:v>1</x:v>
      </x:c>
      <x:c r="Z409" t="n">
        <x:f>IF(L409="Draw/Unknown",1,0)</x:f>
        <x:v>0</x:v>
      </x:c>
      <x:c r="AA409" s="16" t="n">
        <x:f>IF(OR(N409="",O409=""),"",N409-O409)</x:f>
        <x:v>-1</x:v>
      </x:c>
      <x:c r="AB409" s="16" t="n">
        <x:f>IF(T409=0,S409+U409,(S409+U409)/T409)</x:f>
        <x:v>1</x:v>
      </x:c>
      <x:c r="AC409" t="n">
        <x:f>S409+U409</x:f>
        <x:v>10</x:v>
      </x:c>
      <x:c r="AD409" t="n">
        <x:f>IF(T409=0,1,0)</x:f>
        <x:v>0</x:v>
      </x:c>
      <x:c r="AE409" t="str">
        <x:f>IF(R409&gt;0,"Gain",IF(R409&lt;0,"Loss","Neutral"))</x:f>
        <x:v>Loss</x:v>
      </x:c>
    </x:row>
  </x:sheetData>
  <x:conditionalFormatting sqref="L2:L409">
    <x:cfRule type="expression" dxfId="0" priority="1">
      <x:formula>$L2="Win"</x:formula>
    </x:cfRule>
    <x:cfRule type="expression" dxfId="1" priority="2">
      <x:formula>$L2="Loss"</x:formula>
    </x:cfRule>
  </x:conditionalFormatting>
  <x:conditionalFormatting sqref="R2:R409">
    <x:cfRule type="expression" dxfId="2" priority="3">
      <x:formula>$R2&gt;0</x:formula>
    </x:cfRule>
    <x:cfRule type="expression" dxfId="3" priority="4">
      <x:formula>$R2&lt;0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1d8d6e79e943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.0600004196167" hidden="0" customWidth="1"/>
    <x:col min="3" max="3" width="42" hidden="0" customWidth="1"/>
    <x:col min="5" max="5" width="24" hidden="0" customWidth="1"/>
    <x:col min="6" max="6" width="7" hidden="0" customWidth="1"/>
    <x:col min="7" max="7" width="7.940000057220459" hidden="0" customWidth="1"/>
    <x:col min="8" max="8" width="7.400000095367432" hidden="0" customWidth="1"/>
    <x:col min="9" max="9" width="13.319999694824219" hidden="0" customWidth="1"/>
  </x:cols>
  <x:sheetData>
    <x:row r="1">
      <x:c r="A1" s="33" t="str">
        <x:v>Marvel Rivals Competitive Match Analysis</x:v>
      </x:c>
    </x:row>
    <x:row r="2">
      <x:c r="A2" s="37" t="str">
        <x:v>Source: Tracker.gg Marvel Rivals Match History export; parsed competitive matches only. Snapshot inferred from file date: 2026-06-04.</x:v>
      </x:c>
    </x:row>
    <x:row r="4">
      <x:c r="A4" s="25" t="str">
        <x:v>Metric</x:v>
      </x:c>
      <x:c r="B4" s="25" t="str">
        <x:v>Value</x:v>
      </x:c>
      <x:c r="C4" s="25" t="str">
        <x:v>Notes</x:v>
      </x:c>
      <x:c r="E4" s="42" t="str">
        <x:v>Top Heroes by Match Count</x:v>
      </x:c>
    </x:row>
    <x:row r="5">
      <x:c r="A5" s="40" t="str">
        <x:v>Competitive matches</x:v>
      </x:c>
      <x:c r="B5" s="14" t="n">
        <x:v>408</x:v>
      </x:c>
      <x:c r="C5" t="str">
        <x:v>Rows retained after filtering Match_Type = Competitive</x:v>
      </x:c>
      <x:c r="E5" s="45" t="str">
        <x:v>Hero</x:v>
      </x:c>
      <x:c r="F5" s="45" t="str">
        <x:v>Matches</x:v>
      </x:c>
      <x:c r="G5" s="45" t="str">
        <x:v>Win_Rate</x:v>
      </x:c>
      <x:c r="H5" s="45" t="str">
        <x:v>Avg_KDA</x:v>
      </x:c>
      <x:c r="I5" s="45" t="str">
        <x:v>Avg_Rank_Delta</x:v>
      </x:c>
    </x:row>
    <x:row r="6">
      <x:c r="A6" s="40" t="str">
        <x:v>Wins</x:v>
      </x:c>
      <x:c r="B6" s="14" t="n">
        <x:v>200</x:v>
      </x:c>
      <x:c r="C6" t="str"/>
      <x:c r="E6" t="str">
        <x:v>The Thing</x:v>
      </x:c>
      <x:c r="F6" t="n">
        <x:v>147</x:v>
      </x:c>
      <x:c r="G6" s="30" t="n">
        <x:v>0.46258503401360546</x:v>
      </x:c>
      <x:c r="H6" s="16" t="n">
        <x:v>3.5868027210884352</x:v>
      </x:c>
      <x:c r="I6" s="16" t="n">
        <x:v>-0.7551020408163265</x:v>
      </x:c>
    </x:row>
    <x:row r="7">
      <x:c r="A7" s="40" t="str">
        <x:v>Losses</x:v>
      </x:c>
      <x:c r="B7" s="14" t="n">
        <x:v>203</x:v>
      </x:c>
      <x:c r="C7" t="str"/>
      <x:c r="E7" t="str">
        <x:v>Peni Parker</x:v>
      </x:c>
      <x:c r="F7" t="n">
        <x:v>67</x:v>
      </x:c>
      <x:c r="G7" s="30" t="n">
        <x:v>0.6716417910447762</x:v>
      </x:c>
      <x:c r="H7" s="16" t="n">
        <x:v>9.229850746268657</x:v>
      </x:c>
      <x:c r="I7" s="16" t="n">
        <x:v>10.074626865671641</x:v>
      </x:c>
    </x:row>
    <x:row r="8">
      <x:c r="A8" s="40" t="str">
        <x:v>Draw/Unknown</x:v>
      </x:c>
      <x:c r="B8" s="14" t="n">
        <x:v>5</x:v>
      </x:c>
      <x:c r="C8" t="str">
        <x:v>Rows with v3-match-row--unknown or no clear win/loss class</x:v>
      </x:c>
      <x:c r="E8" t="str">
        <x:v>Squirrel Girl</x:v>
      </x:c>
      <x:c r="F8" t="n">
        <x:v>33</x:v>
      </x:c>
      <x:c r="G8" s="30" t="n">
        <x:v>0.36363636363636365</x:v>
      </x:c>
      <x:c r="H8" s="16" t="n">
        <x:v>3.764242424242424</x:v>
      </x:c>
      <x:c r="I8" s="16" t="n">
        <x:v>-4.151515151515151</x:v>
      </x:c>
    </x:row>
    <x:row r="9">
      <x:c r="A9" s="40" t="str">
        <x:v>Win rate</x:v>
      </x:c>
      <x:c r="B9" s="30" t="n">
        <x:v>0.49019607843137253</x:v>
      </x:c>
      <x:c r="C9" t="str"/>
      <x:c r="E9" t="str">
        <x:v>Groot</x:v>
      </x:c>
      <x:c r="F9" t="n">
        <x:v>30</x:v>
      </x:c>
      <x:c r="G9" s="30" t="n">
        <x:v>0.4666666666666667</x:v>
      </x:c>
      <x:c r="H9" s="16" t="n">
        <x:v>3.082333333333333</x:v>
      </x:c>
      <x:c r="I9" s="16" t="n">
        <x:v>0.36666666666666664</x:v>
      </x:c>
    </x:row>
    <x:row r="10">
      <x:c r="A10" s="40" t="str">
        <x:v>Average KDA</x:v>
      </x:c>
      <x:c r="B10" s="16" t="n">
        <x:v>5.058308823529412</x:v>
      </x:c>
      <x:c r="C10" t="str">
        <x:v>Reported KDA from tracker</x:v>
      </x:c>
      <x:c r="E10" t="str">
        <x:v>Cloak &amp; Dagger</x:v>
      </x:c>
      <x:c r="F10" t="n">
        <x:v>23</x:v>
      </x:c>
      <x:c r="G10" s="30" t="n">
        <x:v>0.43478260869565216</x:v>
      </x:c>
      <x:c r="H10" s="16" t="n">
        <x:v>7.3786956521739135</x:v>
      </x:c>
      <x:c r="I10" s="16" t="n">
        <x:v>-1.4782608695652173</x:v>
      </x:c>
    </x:row>
    <x:row r="11">
      <x:c r="A11" s="40" t="str">
        <x:v>Average kills</x:v>
      </x:c>
      <x:c r="B11" s="16" t="n">
        <x:v>19.029411764705884</x:v>
      </x:c>
      <x:c r="C11" t="str"/>
      <x:c r="E11" t="str">
        <x:v>Namor</x:v>
      </x:c>
      <x:c r="F11" t="n">
        <x:v>20</x:v>
      </x:c>
      <x:c r="G11" s="30" t="n">
        <x:v>0.45</x:v>
      </x:c>
      <x:c r="H11" s="16" t="n">
        <x:v>3.9515000000000002</x:v>
      </x:c>
      <x:c r="I11" s="16" t="n">
        <x:v>1.55</x:v>
      </x:c>
    </x:row>
    <x:row r="12">
      <x:c r="A12" s="40" t="str">
        <x:v>Average deaths</x:v>
      </x:c>
      <x:c r="B12" s="16" t="n">
        <x:v>8.872549019607844</x:v>
      </x:c>
      <x:c r="C12" t="str"/>
      <x:c r="E12" t="str">
        <x:v>Rogue</x:v>
      </x:c>
      <x:c r="F12" t="n">
        <x:v>15</x:v>
      </x:c>
      <x:c r="G12" s="30" t="n">
        <x:v>0.5333333333333333</x:v>
      </x:c>
      <x:c r="H12" s="16" t="n">
        <x:v>4.014</x:v>
      </x:c>
      <x:c r="I12" s="16" t="n">
        <x:v>2.6</x:v>
      </x:c>
    </x:row>
    <x:row r="13">
      <x:c r="A13" s="40" t="str">
        <x:v>Average assists</x:v>
      </x:c>
      <x:c r="B13" s="16" t="n">
        <x:v>9.696078431372548</x:v>
      </x:c>
      <x:c r="C13" t="str"/>
      <x:c r="E13" t="str">
        <x:v>Captain America</x:v>
      </x:c>
      <x:c r="F13" t="n">
        <x:v>12</x:v>
      </x:c>
      <x:c r="G13" s="30" t="n">
        <x:v>0.8333333333333334</x:v>
      </x:c>
      <x:c r="H13" s="16" t="n">
        <x:v>4.258333333333334</x:v>
      </x:c>
      <x:c r="I13" s="16" t="n">
        <x:v>16.25</x:v>
      </x:c>
    </x:row>
    <x:row r="14">
      <x:c r="A14" s="40" t="str">
        <x:v>Total rank delta</x:v>
      </x:c>
      <x:c r="B14" s="14" t="n">
        <x:v>412</x:v>
      </x:c>
      <x:c r="C14" t="str">
        <x:v>Sum of RS change over parsed competitive matches</x:v>
      </x:c>
      <x:c r="E14" t="str">
        <x:v>Bruce Banner</x:v>
      </x:c>
      <x:c r="F14" t="n">
        <x:v>9</x:v>
      </x:c>
      <x:c r="G14" s="30" t="n">
        <x:v>0.6666666666666666</x:v>
      </x:c>
      <x:c r="H14" s="16" t="n">
        <x:v>3.6544444444444446</x:v>
      </x:c>
      <x:c r="I14" s="16" t="n">
        <x:v>7.777777777777778</x:v>
      </x:c>
    </x:row>
    <x:row r="15">
      <x:c r="A15" s="40" t="str">
        <x:v>Best hero by win rate (min 10)</x:v>
      </x:c>
      <x:c r="B15" s="16" t="str">
        <x:v>Captain America</x:v>
      </x:c>
      <x:c r="C15" t="str">
        <x:v>83.3% over 12 matches</x:v>
      </x:c>
      <x:c r="E15" t="str">
        <x:v>Storm</x:v>
      </x:c>
      <x:c r="F15" t="n">
        <x:v>9</x:v>
      </x:c>
      <x:c r="G15" s="30" t="n">
        <x:v>0.6666666666666666</x:v>
      </x:c>
      <x:c r="H15" s="16" t="n">
        <x:v>9.952222222222224</x:v>
      </x:c>
      <x:c r="I15" s="16" t="n">
        <x:v>7.111111111111111</x:v>
      </x:c>
    </x:row>
    <x:row r="16">
      <x:c r="A16" s="40" t="str">
        <x:v>Best map by win rate (min 10)</x:v>
      </x:c>
      <x:c r="B16" s="16" t="str">
        <x:v>Spider-Islands</x:v>
      </x:c>
      <x:c r="C16" t="str">
        <x:v>63.6% over 33 matches</x:v>
      </x:c>
    </x:row>
    <x:row r="18">
      <x:c r="E18" s="42" t="str">
        <x:v>Top Maps by Match Count</x:v>
      </x:c>
    </x:row>
    <x:row r="19">
      <x:c r="A19" s="42" t="str">
        <x:v>Prediction-ready notes</x:v>
      </x:c>
      <x:c r="E19" s="45" t="str">
        <x:v>Map</x:v>
      </x:c>
      <x:c r="F19" s="45" t="str">
        <x:v>Matches</x:v>
      </x:c>
      <x:c r="G19" s="45" t="str">
        <x:v>Win_Rate</x:v>
      </x:c>
      <x:c r="H19" s="45" t="str">
        <x:v>Avg_KDA</x:v>
      </x:c>
      <x:c r="I19" s="45" t="str">
        <x:v>Avg_Rank_Delta</x:v>
      </x:c>
    </x:row>
    <x:row r="20">
      <x:c r="A20" s="49" t="str">
        <x:v>Outcome should usually be modeled from Result / Win_Flag, not just Score_For vs Score_Against, because the tracker score orientation is not always aligned with win/loss color class.</x:v>
      </x:c>
      <x:c r="B20" s="49"/>
      <x:c r="C20" s="49"/>
      <x:c r="E20" t="str">
        <x:v>Spider-Islands</x:v>
      </x:c>
      <x:c r="F20" t="n">
        <x:v>33</x:v>
      </x:c>
      <x:c r="G20" s="30" t="n">
        <x:v>0.6363636363636364</x:v>
      </x:c>
      <x:c r="H20" s="16" t="n">
        <x:v>4.4775757575757575</x:v>
      </x:c>
      <x:c r="I20" s="16" t="n">
        <x:v>7.818181818181818</x:v>
      </x:c>
    </x:row>
    <x:row r="21">
      <x:c r="A21" s="49" t="str">
        <x:v>Map is captured where available; 20 competitive Convergence rows did not expose a map name in the saved HTML and are labeled 'Unknown / not captured'.</x:v>
      </x:c>
      <x:c r="B21" s="49"/>
      <x:c r="C21" s="49"/>
      <x:c r="E21" t="str">
        <x:v>Arakko</x:v>
      </x:c>
      <x:c r="F21" t="n">
        <x:v>32</x:v>
      </x:c>
      <x:c r="G21" s="30" t="n">
        <x:v>0.5</x:v>
      </x:c>
      <x:c r="H21" s="16" t="n">
        <x:v>3.4140625</x:v>
      </x:c>
      <x:c r="I21" s="16" t="n">
        <x:v>1.6875</x:v>
      </x:c>
    </x:row>
    <x:row r="22">
      <x:c r="A22" s="49" t="str">
        <x:v>Potential future features: hero, map, game type, recent win streak, moving average KDA, moving average deaths, recent rank delta, time since last match, and teammate presence if exported later.</x:v>
      </x:c>
      <x:c r="B22" s="49"/>
      <x:c r="C22" s="49"/>
      <x:c r="E22" t="str">
        <x:v>Central Park</x:v>
      </x:c>
      <x:c r="F22" t="n">
        <x:v>32</x:v>
      </x:c>
      <x:c r="G22" s="30" t="n">
        <x:v>0.375</x:v>
      </x:c>
      <x:c r="H22" s="16" t="n">
        <x:v>3.1240625</x:v>
      </x:c>
      <x:c r="I22" s="16" t="n">
        <x:v>-2.78125</x:v>
      </x:c>
    </x:row>
    <x:row r="23">
      <x:c r="A23" s="49" t="str">
        <x:v>Quick Match and Arcade rows were intentionally excluded based on your clarification.</x:v>
      </x:c>
      <x:c r="B23" s="49"/>
      <x:c r="C23" s="49"/>
      <x:c r="E23" t="str">
        <x:v>Hall Of Djalia</x:v>
      </x:c>
      <x:c r="F23" t="n">
        <x:v>30</x:v>
      </x:c>
      <x:c r="G23" s="30" t="n">
        <x:v>0.43333333333333335</x:v>
      </x:c>
      <x:c r="H23" s="16" t="n">
        <x:v>5.297666666666667</x:v>
      </x:c>
      <x:c r="I23" s="16" t="n">
        <x:v>-0.7333333333333333</x:v>
      </x:c>
    </x:row>
    <x:row r="24">
      <x:c r="E24" t="str">
        <x:v>Museum of Contemplation</x:v>
      </x:c>
      <x:c r="F24" t="n">
        <x:v>30</x:v>
      </x:c>
      <x:c r="G24" s="30" t="n">
        <x:v>0.3333333333333333</x:v>
      </x:c>
      <x:c r="H24" s="16" t="n">
        <x:v>5.5169999999999995</x:v>
      </x:c>
      <x:c r="I24" s="16" t="n">
        <x:v>-6.233333333333333</x:v>
      </x:c>
    </x:row>
    <x:row r="25">
      <x:c r="E25" t="str">
        <x:v>Birnin T'Challa</x:v>
      </x:c>
      <x:c r="F25" t="n">
        <x:v>29</x:v>
      </x:c>
      <x:c r="G25" s="30" t="n">
        <x:v>0.6206896551724138</x:v>
      </x:c>
      <x:c r="H25" s="16" t="n">
        <x:v>5.201724137931034</x:v>
      </x:c>
      <x:c r="I25" s="16" t="n">
        <x:v>6.827586206896552</x:v>
      </x:c>
    </x:row>
    <x:row r="26">
      <x:c r="E26" t="str">
        <x:v>Yggdrasill Path</x:v>
      </x:c>
      <x:c r="F26" t="n">
        <x:v>29</x:v>
      </x:c>
      <x:c r="G26" s="30" t="n">
        <x:v>0.5172413793103449</x:v>
      </x:c>
      <x:c r="H26" s="16" t="n">
        <x:v>5.689655172413793</x:v>
      </x:c>
      <x:c r="I26" s="16" t="n">
        <x:v>2</x:v>
      </x:c>
    </x:row>
    <x:row r="27">
      <x:c r="E27" t="str">
        <x:v>Symbiotic Surface</x:v>
      </x:c>
      <x:c r="F27" t="n">
        <x:v>28</x:v>
      </x:c>
      <x:c r="G27" s="30" t="n">
        <x:v>0.35714285714285715</x:v>
      </x:c>
      <x:c r="H27" s="16" t="n">
        <x:v>5.062857142857142</x:v>
      </x:c>
      <x:c r="I27" s="16" t="n">
        <x:v>-4.75</x:v>
      </x:c>
    </x:row>
    <x:row r="28">
      <x:c r="E28" t="str">
        <x:v>Heart Of Heaven</x:v>
      </x:c>
      <x:c r="F28" t="n">
        <x:v>26</x:v>
      </x:c>
      <x:c r="G28" s="30" t="n">
        <x:v>0.46153846153846156</x:v>
      </x:c>
      <x:c r="H28" s="16" t="n">
        <x:v>4.961538461538462</x:v>
      </x:c>
      <x:c r="I28" s="16" t="n">
        <x:v>-2.3461538461538463</x:v>
      </x:c>
    </x:row>
    <x:row r="29">
      <x:c r="E29" t="str">
        <x:v>Midtown</x:v>
      </x:c>
      <x:c r="F29" t="n">
        <x:v>26</x:v>
      </x:c>
      <x:c r="G29" s="30" t="n">
        <x:v>0.34615384615384615</x:v>
      </x:c>
      <x:c r="H29" s="16" t="n">
        <x:v>5.28923076923077</x:v>
      </x:c>
      <x:c r="I29" s="16" t="n">
        <x:v>-5.230769230769231</x:v>
      </x:c>
    </x:row>
  </x:sheetData>
  <x:mergeCells>
    <x:mergeCell ref="A1:H1"/>
    <x:mergeCell ref="A2:H2"/>
    <x:mergeCell ref="E4:I4"/>
    <x:mergeCell ref="E18:I18"/>
    <x:mergeCell ref="A19:C19"/>
  </x:mergeCells>
  <x:pageMargins left="0.7" right="0.7" top="0.75" bottom="0.75" header="0.3" footer="0.3"/>
  <x:drawing xmlns:r="http://schemas.openxmlformats.org/officeDocument/2006/relationships" r:id="R37cd52dc97f24e04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860000133514404" hidden="0" customWidth="1"/>
    <x:col min="3" max="3" width="3.9000000953674316" hidden="0" customWidth="1"/>
    <x:col min="4" max="4" width="5.110000133514404" hidden="0" customWidth="1"/>
    <x:col min="5" max="5" width="4.849999904632568" hidden="0" customWidth="1"/>
    <x:col min="6" max="6" width="10.359999656677246" hidden="0" customWidth="1"/>
    <x:col min="7" max="7" width="10.359999656677246" hidden="0" customWidth="1"/>
    <x:col min="8" max="8" width="10.359999656677246" hidden="0" customWidth="1"/>
    <x:col min="9" max="9" width="10.359999656677246" hidden="0" customWidth="1"/>
    <x:col min="10" max="10" width="10.359999656677246" hidden="0" customWidth="1"/>
    <x:col min="11" max="11" width="15.609999656677246" hidden="0" customWidth="1"/>
    <x:col min="12" max="12" width="12.920000076293945" hidden="0" customWidth="1"/>
    <x:col min="13" max="13" width="14" hidden="0" customWidth="1"/>
  </x:cols>
  <x:sheetData>
    <x:row r="1">
      <x:c r="A1" s="20" t="str">
        <x:v>Competitive Performance by Hero</x:v>
      </x:c>
    </x:row>
    <x:row r="3">
      <x:c r="A3" s="26" t="str">
        <x:v>Category</x:v>
      </x:c>
      <x:c r="B3" s="26" t="str">
        <x:v>Matches</x:v>
      </x:c>
      <x:c r="C3" s="26" t="str">
        <x:v>Wins</x:v>
      </x:c>
      <x:c r="D3" s="26" t="str">
        <x:v>Losses</x:v>
      </x:c>
      <x:c r="E3" s="26" t="str">
        <x:v>Draws</x:v>
      </x:c>
      <x:c r="F3" s="26" t="str">
        <x:v>Win_Rate</x:v>
      </x:c>
      <x:c r="G3" s="26" t="str">
        <x:v>Avg_Kills</x:v>
      </x:c>
      <x:c r="H3" s="26" t="str">
        <x:v>Avg_Deaths</x:v>
      </x:c>
      <x:c r="I3" s="26" t="str">
        <x:v>Avg_Assists</x:v>
      </x:c>
      <x:c r="J3" s="26" t="str">
        <x:v>Overall_KDA</x:v>
      </x:c>
      <x:c r="K3" s="26" t="str">
        <x:v>Avg_Reported_KDA</x:v>
      </x:c>
      <x:c r="L3" s="26" t="str">
        <x:v>Avg_Rank_Delta</x:v>
      </x:c>
      <x:c r="M3" s="26" t="str">
        <x:v>Total_Rank_Delta</x:v>
      </x:c>
    </x:row>
    <x:row r="4">
      <x:c r="A4" t="str">
        <x:v>The Thing</x:v>
      </x:c>
      <x:c r="B4" t="n">
        <x:v>147</x:v>
      </x:c>
      <x:c r="C4" t="n">
        <x:v>68</x:v>
      </x:c>
      <x:c r="D4" t="n">
        <x:v>79</x:v>
      </x:c>
      <x:c r="E4" t="n">
        <x:v>0</x:v>
      </x:c>
      <x:c r="F4" s="30" t="n">
        <x:v>0.46258503401360546</x:v>
      </x:c>
      <x:c r="G4" s="16" t="n">
        <x:v>20.285714285714285</x:v>
      </x:c>
      <x:c r="H4" s="16" t="n">
        <x:v>10.095238095238095</x:v>
      </x:c>
      <x:c r="I4" s="16" t="n">
        <x:v>9.224489795918368</x:v>
      </x:c>
      <x:c r="J4" s="16" t="n">
        <x:v>2.9231805929919137</x:v>
      </x:c>
      <x:c r="K4" s="16" t="n">
        <x:v>3.5868027210884352</x:v>
      </x:c>
      <x:c r="L4" s="16" t="n">
        <x:v>-0.7551020408163265</x:v>
      </x:c>
      <x:c r="M4" s="14" t="n">
        <x:v>-111</x:v>
      </x:c>
    </x:row>
    <x:row r="5">
      <x:c r="A5" t="str">
        <x:v>Peni Parker</x:v>
      </x:c>
      <x:c r="B5" t="n">
        <x:v>67</x:v>
      </x:c>
      <x:c r="C5" t="n">
        <x:v>45</x:v>
      </x:c>
      <x:c r="D5" t="n">
        <x:v>19</x:v>
      </x:c>
      <x:c r="E5" t="n">
        <x:v>3</x:v>
      </x:c>
      <x:c r="F5" s="30" t="n">
        <x:v>0.6716417910447762</x:v>
      </x:c>
      <x:c r="G5" s="16" t="n">
        <x:v>16.507462686567163</x:v>
      </x:c>
      <x:c r="H5" s="16" t="n">
        <x:v>5.597014925373134</x:v>
      </x:c>
      <x:c r="I5" s="16" t="n">
        <x:v>12.35820895522388</x:v>
      </x:c>
      <x:c r="J5" s="16" t="n">
        <x:v>5.157333333333334</x:v>
      </x:c>
      <x:c r="K5" s="16" t="n">
        <x:v>9.229850746268657</x:v>
      </x:c>
      <x:c r="L5" s="16" t="n">
        <x:v>10.074626865671641</x:v>
      </x:c>
      <x:c r="M5" s="14" t="n">
        <x:v>675</x:v>
      </x:c>
    </x:row>
    <x:row r="6">
      <x:c r="A6" t="str">
        <x:v>Squirrel Girl</x:v>
      </x:c>
      <x:c r="B6" t="n">
        <x:v>33</x:v>
      </x:c>
      <x:c r="C6" t="n">
        <x:v>12</x:v>
      </x:c>
      <x:c r="D6" t="n">
        <x:v>21</x:v>
      </x:c>
      <x:c r="E6" t="n">
        <x:v>0</x:v>
      </x:c>
      <x:c r="F6" s="30" t="n">
        <x:v>0.36363636363636365</x:v>
      </x:c>
      <x:c r="G6" s="16" t="n">
        <x:v>19.03030303030303</x:v>
      </x:c>
      <x:c r="H6" s="16" t="n">
        <x:v>9.333333333333334</x:v>
      </x:c>
      <x:c r="I6" s="16" t="n">
        <x:v>4.7272727272727275</x:v>
      </x:c>
      <x:c r="J6" s="16" t="n">
        <x:v>2.5454545454545454</x:v>
      </x:c>
      <x:c r="K6" s="16" t="n">
        <x:v>3.764242424242424</x:v>
      </x:c>
      <x:c r="L6" s="16" t="n">
        <x:v>-4.151515151515151</x:v>
      </x:c>
      <x:c r="M6" s="14" t="n">
        <x:v>-137</x:v>
      </x:c>
    </x:row>
    <x:row r="7">
      <x:c r="A7" t="str">
        <x:v>Groot</x:v>
      </x:c>
      <x:c r="B7" t="n">
        <x:v>30</x:v>
      </x:c>
      <x:c r="C7" t="n">
        <x:v>14</x:v>
      </x:c>
      <x:c r="D7" t="n">
        <x:v>15</x:v>
      </x:c>
      <x:c r="E7" t="n">
        <x:v>1</x:v>
      </x:c>
      <x:c r="F7" s="30" t="n">
        <x:v>0.4666666666666667</x:v>
      </x:c>
      <x:c r="G7" s="16" t="n">
        <x:v>18.1</x:v>
      </x:c>
      <x:c r="H7" s="16" t="n">
        <x:v>9.833333333333334</x:v>
      </x:c>
      <x:c r="I7" s="16" t="n">
        <x:v>5.033333333333333</x:v>
      </x:c>
      <x:c r="J7" s="16" t="n">
        <x:v>2.352542372881356</x:v>
      </x:c>
      <x:c r="K7" s="16" t="n">
        <x:v>3.082333333333333</x:v>
      </x:c>
      <x:c r="L7" s="16" t="n">
        <x:v>0.36666666666666664</x:v>
      </x:c>
      <x:c r="M7" s="14" t="n">
        <x:v>11</x:v>
      </x:c>
    </x:row>
    <x:row r="8">
      <x:c r="A8" t="str">
        <x:v>Cloak &amp; Dagger</x:v>
      </x:c>
      <x:c r="B8" t="n">
        <x:v>23</x:v>
      </x:c>
      <x:c r="C8" t="n">
        <x:v>10</x:v>
      </x:c>
      <x:c r="D8" t="n">
        <x:v>13</x:v>
      </x:c>
      <x:c r="E8" t="n">
        <x:v>0</x:v>
      </x:c>
      <x:c r="F8" s="30" t="n">
        <x:v>0.43478260869565216</x:v>
      </x:c>
      <x:c r="G8" s="16" t="n">
        <x:v>13.652173913043478</x:v>
      </x:c>
      <x:c r="H8" s="16" t="n">
        <x:v>7.565217391304348</x:v>
      </x:c>
      <x:c r="I8" s="16" t="n">
        <x:v>22.52173913043478</x:v>
      </x:c>
      <x:c r="J8" s="16" t="n">
        <x:v>4.781609195402299</x:v>
      </x:c>
      <x:c r="K8" s="16" t="n">
        <x:v>7.3786956521739135</x:v>
      </x:c>
      <x:c r="L8" s="16" t="n">
        <x:v>-1.4782608695652173</x:v>
      </x:c>
      <x:c r="M8" s="14" t="n">
        <x:v>-34</x:v>
      </x:c>
    </x:row>
    <x:row r="9">
      <x:c r="A9" t="str">
        <x:v>Namor</x:v>
      </x:c>
      <x:c r="B9" t="n">
        <x:v>20</x:v>
      </x:c>
      <x:c r="C9" t="n">
        <x:v>9</x:v>
      </x:c>
      <x:c r="D9" t="n">
        <x:v>11</x:v>
      </x:c>
      <x:c r="E9" t="n">
        <x:v>0</x:v>
      </x:c>
      <x:c r="F9" s="30" t="n">
        <x:v>0.45</x:v>
      </x:c>
      <x:c r="G9" s="16" t="n">
        <x:v>22.7</x:v>
      </x:c>
      <x:c r="H9" s="16" t="n">
        <x:v>9.2</x:v>
      </x:c>
      <x:c r="I9" s="16" t="n">
        <x:v>3.85</x:v>
      </x:c>
      <x:c r="J9" s="16" t="n">
        <x:v>2.885869565217391</x:v>
      </x:c>
      <x:c r="K9" s="16" t="n">
        <x:v>3.9515000000000002</x:v>
      </x:c>
      <x:c r="L9" s="16" t="n">
        <x:v>1.55</x:v>
      </x:c>
      <x:c r="M9" s="14" t="n">
        <x:v>31</x:v>
      </x:c>
    </x:row>
    <x:row r="10">
      <x:c r="A10" t="str">
        <x:v>Rogue</x:v>
      </x:c>
      <x:c r="B10" t="n">
        <x:v>15</x:v>
      </x:c>
      <x:c r="C10" t="n">
        <x:v>8</x:v>
      </x:c>
      <x:c r="D10" t="n">
        <x:v>6</x:v>
      </x:c>
      <x:c r="E10" t="n">
        <x:v>1</x:v>
      </x:c>
      <x:c r="F10" s="30" t="n">
        <x:v>0.5333333333333333</x:v>
      </x:c>
      <x:c r="G10" s="16" t="n">
        <x:v>16.066666666666666</x:v>
      </x:c>
      <x:c r="H10" s="16" t="n">
        <x:v>8.666666666666666</x:v>
      </x:c>
      <x:c r="I10" s="16" t="n">
        <x:v>5.866666666666666</x:v>
      </x:c>
      <x:c r="J10" s="16" t="n">
        <x:v>2.5307692307692307</x:v>
      </x:c>
      <x:c r="K10" s="16" t="n">
        <x:v>4.014</x:v>
      </x:c>
      <x:c r="L10" s="16" t="n">
        <x:v>2.6</x:v>
      </x:c>
      <x:c r="M10" s="14" t="n">
        <x:v>39</x:v>
      </x:c>
    </x:row>
    <x:row r="11">
      <x:c r="A11" t="str">
        <x:v>Captain America</x:v>
      </x:c>
      <x:c r="B11" t="n">
        <x:v>12</x:v>
      </x:c>
      <x:c r="C11" t="n">
        <x:v>10</x:v>
      </x:c>
      <x:c r="D11" t="n">
        <x:v>2</x:v>
      </x:c>
      <x:c r="E11" t="n">
        <x:v>0</x:v>
      </x:c>
      <x:c r="F11" s="30" t="n">
        <x:v>0.8333333333333334</x:v>
      </x:c>
      <x:c r="G11" s="16" t="n">
        <x:v>22.333333333333332</x:v>
      </x:c>
      <x:c r="H11" s="16" t="n">
        <x:v>8.083333333333334</x:v>
      </x:c>
      <x:c r="I11" s="16" t="n">
        <x:v>5.25</x:v>
      </x:c>
      <x:c r="J11" s="16" t="n">
        <x:v>3.4123711340206184</x:v>
      </x:c>
      <x:c r="K11" s="16" t="n">
        <x:v>4.258333333333334</x:v>
      </x:c>
      <x:c r="L11" s="16" t="n">
        <x:v>16.25</x:v>
      </x:c>
      <x:c r="M11" s="14" t="n">
        <x:v>195</x:v>
      </x:c>
    </x:row>
    <x:row r="12">
      <x:c r="A12" t="str">
        <x:v>Bruce Banner</x:v>
      </x:c>
      <x:c r="B12" t="n">
        <x:v>9</x:v>
      </x:c>
      <x:c r="C12" t="n">
        <x:v>6</x:v>
      </x:c>
      <x:c r="D12" t="n">
        <x:v>3</x:v>
      </x:c>
      <x:c r="E12" t="n">
        <x:v>0</x:v>
      </x:c>
      <x:c r="F12" s="30" t="n">
        <x:v>0.6666666666666666</x:v>
      </x:c>
      <x:c r="G12" s="16" t="n">
        <x:v>20.444444444444443</x:v>
      </x:c>
      <x:c r="H12" s="16" t="n">
        <x:v>8.333333333333334</x:v>
      </x:c>
      <x:c r="I12" s="16" t="n">
        <x:v>6.444444444444445</x:v>
      </x:c>
      <x:c r="J12" s="16" t="n">
        <x:v>3.2266666666666666</x:v>
      </x:c>
      <x:c r="K12" s="16" t="n">
        <x:v>3.6544444444444446</x:v>
      </x:c>
      <x:c r="L12" s="16" t="n">
        <x:v>7.777777777777778</x:v>
      </x:c>
      <x:c r="M12" s="14" t="n">
        <x:v>70</x:v>
      </x:c>
    </x:row>
    <x:row r="13">
      <x:c r="A13" t="str">
        <x:v>Storm</x:v>
      </x:c>
      <x:c r="B13" t="n">
        <x:v>9</x:v>
      </x:c>
      <x:c r="C13" t="n">
        <x:v>6</x:v>
      </x:c>
      <x:c r="D13" t="n">
        <x:v>3</x:v>
      </x:c>
      <x:c r="E13" t="n">
        <x:v>0</x:v>
      </x:c>
      <x:c r="F13" s="30" t="n">
        <x:v>0.6666666666666666</x:v>
      </x:c>
      <x:c r="G13" s="16" t="n">
        <x:v>27.444444444444443</x:v>
      </x:c>
      <x:c r="H13" s="16" t="n">
        <x:v>7.777777777777778</x:v>
      </x:c>
      <x:c r="I13" s="16" t="n">
        <x:v>22.77777777777778</x:v>
      </x:c>
      <x:c r="J13" s="16" t="n">
        <x:v>6.457142857142857</x:v>
      </x:c>
      <x:c r="K13" s="16" t="n">
        <x:v>9.952222222222224</x:v>
      </x:c>
      <x:c r="L13" s="16" t="n">
        <x:v>7.111111111111111</x:v>
      </x:c>
      <x:c r="M13" s="14" t="n">
        <x:v>64</x:v>
      </x:c>
    </x:row>
    <x:row r="14">
      <x:c r="A14" t="str">
        <x:v>Devil Dinosaur</x:v>
      </x:c>
      <x:c r="B14" t="n">
        <x:v>6</x:v>
      </x:c>
      <x:c r="C14" t="n">
        <x:v>1</x:v>
      </x:c>
      <x:c r="D14" t="n">
        <x:v>5</x:v>
      </x:c>
      <x:c r="E14" t="n">
        <x:v>0</x:v>
      </x:c>
      <x:c r="F14" s="30" t="n">
        <x:v>0.16666666666666666</x:v>
      </x:c>
      <x:c r="G14" s="16" t="n">
        <x:v>19.333333333333332</x:v>
      </x:c>
      <x:c r="H14" s="16" t="n">
        <x:v>9.833333333333334</x:v>
      </x:c>
      <x:c r="I14" s="16" t="n">
        <x:v>13.833333333333334</x:v>
      </x:c>
      <x:c r="J14" s="16" t="n">
        <x:v>3.3728813559322033</x:v>
      </x:c>
      <x:c r="K14" s="16" t="n">
        <x:v>11.688333333333333</x:v>
      </x:c>
      <x:c r="L14" s="16" t="n">
        <x:v>-15.333333333333334</x:v>
      </x:c>
      <x:c r="M14" s="14" t="n">
        <x:v>-92</x:v>
      </x:c>
    </x:row>
    <x:row r="15">
      <x:c r="A15" t="str">
        <x:v>Doctor Strange</x:v>
      </x:c>
      <x:c r="B15" t="n">
        <x:v>5</x:v>
      </x:c>
      <x:c r="C15" t="n">
        <x:v>2</x:v>
      </x:c>
      <x:c r="D15" t="n">
        <x:v>3</x:v>
      </x:c>
      <x:c r="E15" t="n">
        <x:v>0</x:v>
      </x:c>
      <x:c r="F15" s="30" t="n">
        <x:v>0.4</x:v>
      </x:c>
      <x:c r="G15" s="16" t="n">
        <x:v>19.2</x:v>
      </x:c>
      <x:c r="H15" s="16" t="n">
        <x:v>9.8</x:v>
      </x:c>
      <x:c r="I15" s="16" t="n">
        <x:v>7</x:v>
      </x:c>
      <x:c r="J15" s="16" t="n">
        <x:v>2.673469387755102</x:v>
      </x:c>
      <x:c r="K15" s="16" t="n">
        <x:v>5.288</x:v>
      </x:c>
      <x:c r="L15" s="16" t="n">
        <x:v>-1</x:v>
      </x:c>
      <x:c r="M15" s="14" t="n">
        <x:v>-5</x:v>
      </x:c>
    </x:row>
    <x:row r="16">
      <x:c r="A16" t="str">
        <x:v>Ultron</x:v>
      </x:c>
      <x:c r="B16" t="n">
        <x:v>5</x:v>
      </x:c>
      <x:c r="C16" t="n">
        <x:v>2</x:v>
      </x:c>
      <x:c r="D16" t="n">
        <x:v>3</x:v>
      </x:c>
      <x:c r="E16" t="n">
        <x:v>0</x:v>
      </x:c>
      <x:c r="F16" s="30" t="n">
        <x:v>0.4</x:v>
      </x:c>
      <x:c r="G16" s="16" t="n">
        <x:v>16.6</x:v>
      </x:c>
      <x:c r="H16" s="16" t="n">
        <x:v>5.2</x:v>
      </x:c>
      <x:c r="I16" s="16" t="n">
        <x:v>23.6</x:v>
      </x:c>
      <x:c r="J16" s="16" t="n">
        <x:v>7.730769230769231</x:v>
      </x:c>
      <x:c r="K16" s="16" t="n">
        <x:v>8.588</x:v>
      </x:c>
      <x:c r="L16" s="16" t="n">
        <x:v>-7.6</x:v>
      </x:c>
      <x:c r="M16" s="14" t="n">
        <x:v>-38</x:v>
      </x:c>
    </x:row>
    <x:row r="17">
      <x:c r="A17" t="str">
        <x:v>Hela</x:v>
      </x:c>
      <x:c r="B17" t="n">
        <x:v>4</x:v>
      </x:c>
      <x:c r="C17" t="n">
        <x:v>1</x:v>
      </x:c>
      <x:c r="D17" t="n">
        <x:v>3</x:v>
      </x:c>
      <x:c r="E17" t="n">
        <x:v>0</x:v>
      </x:c>
      <x:c r="F17" s="30" t="n">
        <x:v>0.25</x:v>
      </x:c>
      <x:c r="G17" s="16" t="n">
        <x:v>31.75</x:v>
      </x:c>
      <x:c r="H17" s="16" t="n">
        <x:v>14</x:v>
      </x:c>
      <x:c r="I17" s="16" t="n">
        <x:v>8</x:v>
      </x:c>
      <x:c r="J17" s="16" t="n">
        <x:v>2.8392857142857144</x:v>
      </x:c>
      <x:c r="K17" s="16" t="n">
        <x:v>5.99</x:v>
      </x:c>
      <x:c r="L17" s="16" t="n">
        <x:v>-8.75</x:v>
      </x:c>
      <x:c r="M17" s="14" t="n">
        <x:v>-35</x:v>
      </x:c>
    </x:row>
    <x:row r="18">
      <x:c r="A18" t="str">
        <x:v>Magneto</x:v>
      </x:c>
      <x:c r="B18" t="n">
        <x:v>4</x:v>
      </x:c>
      <x:c r="C18" t="n">
        <x:v>2</x:v>
      </x:c>
      <x:c r="D18" t="n">
        <x:v>2</x:v>
      </x:c>
      <x:c r="E18" t="n">
        <x:v>0</x:v>
      </x:c>
      <x:c r="F18" s="30" t="n">
        <x:v>0.5</x:v>
      </x:c>
      <x:c r="G18" s="16" t="n">
        <x:v>5.75</x:v>
      </x:c>
      <x:c r="H18" s="16" t="n">
        <x:v>5.75</x:v>
      </x:c>
      <x:c r="I18" s="16" t="n">
        <x:v>2.25</x:v>
      </x:c>
      <x:c r="J18" s="16" t="n">
        <x:v>1.391304347826087</x:v>
      </x:c>
      <x:c r="K18" s="16" t="n">
        <x:v>1.5625</x:v>
      </x:c>
      <x:c r="L18" s="16" t="n">
        <x:v>-0.75</x:v>
      </x:c>
      <x:c r="M18" s="14" t="n">
        <x:v>-3</x:v>
      </x:c>
    </x:row>
    <x:row r="19">
      <x:c r="A19" t="str">
        <x:v>Scarlet Witch</x:v>
      </x:c>
      <x:c r="B19" t="n">
        <x:v>3</x:v>
      </x:c>
      <x:c r="C19" t="n">
        <x:v>0</x:v>
      </x:c>
      <x:c r="D19" t="n">
        <x:v>3</x:v>
      </x:c>
      <x:c r="E19" t="n">
        <x:v>0</x:v>
      </x:c>
      <x:c r="F19" s="30" t="n">
        <x:v>0</x:v>
      </x:c>
      <x:c r="G19" s="16" t="n">
        <x:v>26.333333333333332</x:v>
      </x:c>
      <x:c r="H19" s="16" t="n">
        <x:v>16.333333333333332</x:v>
      </x:c>
      <x:c r="I19" s="16" t="n">
        <x:v>8</x:v>
      </x:c>
      <x:c r="J19" s="16" t="n">
        <x:v>2.1020408163265305</x:v>
      </x:c>
      <x:c r="K19" s="16" t="n">
        <x:v>2.2066666666666666</x:v>
      </x:c>
      <x:c r="L19" s="16" t="n">
        <x:v>-20.333333333333332</x:v>
      </x:c>
      <x:c r="M19" s="14" t="n">
        <x:v>-61</x:v>
      </x:c>
    </x:row>
    <x:row r="20">
      <x:c r="A20" t="str">
        <x:v>Thor</x:v>
      </x:c>
      <x:c r="B20" t="n">
        <x:v>3</x:v>
      </x:c>
      <x:c r="C20" t="n">
        <x:v>1</x:v>
      </x:c>
      <x:c r="D20" t="n">
        <x:v>2</x:v>
      </x:c>
      <x:c r="E20" t="n">
        <x:v>0</x:v>
      </x:c>
      <x:c r="F20" s="30" t="n">
        <x:v>0.3333333333333333</x:v>
      </x:c>
      <x:c r="G20" s="16" t="n">
        <x:v>25.333333333333332</x:v>
      </x:c>
      <x:c r="H20" s="16" t="n">
        <x:v>13</x:v>
      </x:c>
      <x:c r="I20" s="16" t="n">
        <x:v>15</x:v>
      </x:c>
      <x:c r="J20" s="16" t="n">
        <x:v>3.1025641025641026</x:v>
      </x:c>
      <x:c r="K20" s="16" t="n">
        <x:v>3.3366666666666664</x:v>
      </x:c>
      <x:c r="L20" s="16" t="n">
        <x:v>-6</x:v>
      </x:c>
      <x:c r="M20" s="14" t="n">
        <x:v>-18</x:v>
      </x:c>
    </x:row>
    <x:row r="21">
      <x:c r="A21" t="str">
        <x:v>Angela</x:v>
      </x:c>
      <x:c r="B21" t="n">
        <x:v>2</x:v>
      </x:c>
      <x:c r="C21" t="n">
        <x:v>1</x:v>
      </x:c>
      <x:c r="D21" t="n">
        <x:v>1</x:v>
      </x:c>
      <x:c r="E21" t="n">
        <x:v>0</x:v>
      </x:c>
      <x:c r="F21" s="30" t="n">
        <x:v>0.5</x:v>
      </x:c>
      <x:c r="G21" s="16" t="n">
        <x:v>14.5</x:v>
      </x:c>
      <x:c r="H21" s="16" t="n">
        <x:v>9</x:v>
      </x:c>
      <x:c r="I21" s="16" t="n">
        <x:v>1.5</x:v>
      </x:c>
      <x:c r="J21" s="16" t="n">
        <x:v>1.7777777777777777</x:v>
      </x:c>
      <x:c r="K21" s="16" t="n">
        <x:v>2.21</x:v>
      </x:c>
      <x:c r="L21" s="16" t="n">
        <x:v>0.5</x:v>
      </x:c>
      <x:c r="M21" s="14" t="n">
        <x:v>1</x:v>
      </x:c>
    </x:row>
    <x:row r="22">
      <x:c r="A22" t="str">
        <x:v>Invisible Woman</x:v>
      </x:c>
      <x:c r="B22" t="n">
        <x:v>2</x:v>
      </x:c>
      <x:c r="C22" t="n">
        <x:v>0</x:v>
      </x:c>
      <x:c r="D22" t="n">
        <x:v>2</x:v>
      </x:c>
      <x:c r="E22" t="n">
        <x:v>0</x:v>
      </x:c>
      <x:c r="F22" s="30" t="n">
        <x:v>0</x:v>
      </x:c>
      <x:c r="G22" s="16" t="n">
        <x:v>22.5</x:v>
      </x:c>
      <x:c r="H22" s="16" t="n">
        <x:v>13</x:v>
      </x:c>
      <x:c r="I22" s="16" t="n">
        <x:v>21</x:v>
      </x:c>
      <x:c r="J22" s="16" t="n">
        <x:v>3.3461538461538463</x:v>
      </x:c>
      <x:c r="K22" s="16" t="n">
        <x:v>3.37</x:v>
      </x:c>
      <x:c r="L22" s="16" t="n">
        <x:v>-20.5</x:v>
      </x:c>
      <x:c r="M22" s="14" t="n">
        <x:v>-41</x:v>
      </x:c>
    </x:row>
    <x:row r="23">
      <x:c r="A23" t="str">
        <x:v>The Punisher</x:v>
      </x:c>
      <x:c r="B23" t="n">
        <x:v>2</x:v>
      </x:c>
      <x:c r="C23" t="n">
        <x:v>0</x:v>
      </x:c>
      <x:c r="D23" t="n">
        <x:v>2</x:v>
      </x:c>
      <x:c r="E23" t="n">
        <x:v>0</x:v>
      </x:c>
      <x:c r="F23" s="30" t="n">
        <x:v>0</x:v>
      </x:c>
      <x:c r="G23" s="16" t="n">
        <x:v>9.5</x:v>
      </x:c>
      <x:c r="H23" s="16" t="n">
        <x:v>13</x:v>
      </x:c>
      <x:c r="I23" s="16" t="n">
        <x:v>1</x:v>
      </x:c>
      <x:c r="J23" s="16" t="n">
        <x:v>0.8076923076923077</x:v>
      </x:c>
      <x:c r="K23" s="16" t="n">
        <x:v>0.7100000000000001</x:v>
      </x:c>
      <x:c r="L23" s="16" t="n">
        <x:v>-22</x:v>
      </x:c>
      <x:c r="M23" s="14" t="n">
        <x:v>-44</x:v>
      </x:c>
    </x:row>
    <x:row r="24">
      <x:c r="A24" t="str">
        <x:v>Diamond III</x:v>
      </x:c>
      <x:c r="B24" t="n">
        <x:v>1</x:v>
      </x:c>
      <x:c r="C24" t="n">
        <x:v>1</x:v>
      </x:c>
      <x:c r="D24" t="n">
        <x:v>0</x:v>
      </x:c>
      <x:c r="E24" t="n">
        <x:v>0</x:v>
      </x:c>
      <x:c r="F24" s="30" t="n">
        <x:v>1</x:v>
      </x:c>
      <x:c r="G24" s="16" t="n">
        <x:v>16</x:v>
      </x:c>
      <x:c r="H24" s="16" t="n">
        <x:v>4</x:v>
      </x:c>
      <x:c r="I24" s="16" t="n">
        <x:v>4</x:v>
      </x:c>
      <x:c r="J24" s="16" t="n">
        <x:v>5</x:v>
      </x:c>
      <x:c r="K24" s="16" t="n">
        <x:v>5</x:v>
      </x:c>
      <x:c r="L24" s="16" t="n">
        <x:v>0</x:v>
      </x:c>
      <x:c r="M24" s="14" t="n">
        <x:v>0</x:v>
      </x:c>
    </x:row>
    <x:row r="25">
      <x:c r="A25" t="str">
        <x:v>Gambit</x:v>
      </x:c>
      <x:c r="B25" t="n">
        <x:v>1</x:v>
      </x:c>
      <x:c r="C25" t="n">
        <x:v>0</x:v>
      </x:c>
      <x:c r="D25" t="n">
        <x:v>1</x:v>
      </x:c>
      <x:c r="E25" t="n">
        <x:v>0</x:v>
      </x:c>
      <x:c r="F25" s="30" t="n">
        <x:v>0</x:v>
      </x:c>
      <x:c r="G25" s="16" t="n">
        <x:v>9</x:v>
      </x:c>
      <x:c r="H25" s="16" t="n">
        <x:v>9</x:v>
      </x:c>
      <x:c r="I25" s="16" t="n">
        <x:v>8</x:v>
      </x:c>
      <x:c r="J25" s="16" t="n">
        <x:v>1.8888888888888888</x:v>
      </x:c>
      <x:c r="K25" s="16" t="n">
        <x:v>1.89</x:v>
      </x:c>
      <x:c r="L25" s="16" t="n">
        <x:v>-23</x:v>
      </x:c>
      <x:c r="M25" s="14" t="n">
        <x:v>-23</x:v>
      </x:c>
    </x:row>
    <x:row r="26">
      <x:c r="A26" t="str">
        <x:v>Human Torch</x:v>
      </x:c>
      <x:c r="B26" t="n">
        <x:v>1</x:v>
      </x:c>
      <x:c r="C26" t="n">
        <x:v>0</x:v>
      </x:c>
      <x:c r="D26" t="n">
        <x:v>1</x:v>
      </x:c>
      <x:c r="E26" t="n">
        <x:v>0</x:v>
      </x:c>
      <x:c r="F26" s="30" t="n">
        <x:v>0</x:v>
      </x:c>
      <x:c r="G26" s="16" t="n">
        <x:v>8</x:v>
      </x:c>
      <x:c r="H26" s="16" t="n">
        <x:v>5</x:v>
      </x:c>
      <x:c r="I26" s="16" t="n">
        <x:v>0</x:v>
      </x:c>
      <x:c r="J26" s="16" t="n">
        <x:v>1.6</x:v>
      </x:c>
      <x:c r="K26" s="16" t="n">
        <x:v>1.6</x:v>
      </x:c>
      <x:c r="L26" s="16" t="n">
        <x:v>-7</x:v>
      </x:c>
      <x:c r="M26" s="14" t="n">
        <x:v>-7</x:v>
      </x:c>
    </x:row>
    <x:row r="27">
      <x:c r="A27" t="str">
        <x:v>Iron Man</x:v>
      </x:c>
      <x:c r="B27" t="n">
        <x:v>1</x:v>
      </x:c>
      <x:c r="C27" t="n">
        <x:v>0</x:v>
      </x:c>
      <x:c r="D27" t="n">
        <x:v>1</x:v>
      </x:c>
      <x:c r="E27" t="n">
        <x:v>0</x:v>
      </x:c>
      <x:c r="F27" s="30" t="n">
        <x:v>0</x:v>
      </x:c>
      <x:c r="G27" s="16" t="n">
        <x:v>5</x:v>
      </x:c>
      <x:c r="H27" s="16" t="n">
        <x:v>5</x:v>
      </x:c>
      <x:c r="I27" s="16" t="n">
        <x:v>1</x:v>
      </x:c>
      <x:c r="J27" s="16" t="n">
        <x:v>1.2</x:v>
      </x:c>
      <x:c r="K27" s="16" t="n">
        <x:v>1.2</x:v>
      </x:c>
      <x:c r="L27" s="16" t="n">
        <x:v>-24</x:v>
      </x:c>
      <x:c r="M27" s="14" t="n">
        <x:v>-24</x:v>
      </x:c>
    </x:row>
    <x:row r="28">
      <x:c r="A28" t="str">
        <x:v>Jeff The Land Shark</x:v>
      </x:c>
      <x:c r="B28" t="n">
        <x:v>1</x:v>
      </x:c>
      <x:c r="C28" t="n">
        <x:v>1</x:v>
      </x:c>
      <x:c r="D28" t="n">
        <x:v>0</x:v>
      </x:c>
      <x:c r="E28" t="n">
        <x:v>0</x:v>
      </x:c>
      <x:c r="F28" s="30" t="n">
        <x:v>1</x:v>
      </x:c>
      <x:c r="G28" s="16" t="n">
        <x:v>36</x:v>
      </x:c>
      <x:c r="H28" s="16" t="n">
        <x:v>11</x:v>
      </x:c>
      <x:c r="I28" s="16" t="n">
        <x:v>41</x:v>
      </x:c>
      <x:c r="J28" s="16" t="n">
        <x:v>7</x:v>
      </x:c>
      <x:c r="K28" s="16" t="n">
        <x:v>7</x:v>
      </x:c>
      <x:c r="L28" s="16" t="n">
        <x:v>40</x:v>
      </x:c>
      <x:c r="M28" s="14" t="n">
        <x:v>40</x:v>
      </x:c>
    </x:row>
    <x:row r="29">
      <x:c r="A29" t="str">
        <x:v>Mantis</x:v>
      </x:c>
      <x:c r="B29" t="n">
        <x:v>1</x:v>
      </x:c>
      <x:c r="C29" t="n">
        <x:v>0</x:v>
      </x:c>
      <x:c r="D29" t="n">
        <x:v>1</x:v>
      </x:c>
      <x:c r="E29" t="n">
        <x:v>0</x:v>
      </x:c>
      <x:c r="F29" s="30" t="n">
        <x:v>0</x:v>
      </x:c>
      <x:c r="G29" s="16" t="n">
        <x:v>4</x:v>
      </x:c>
      <x:c r="H29" s="16" t="n">
        <x:v>11</x:v>
      </x:c>
      <x:c r="I29" s="16" t="n">
        <x:v>3</x:v>
      </x:c>
      <x:c r="J29" s="16" t="n">
        <x:v>0.6363636363636364</x:v>
      </x:c>
      <x:c r="K29" s="16" t="n">
        <x:v>0.64</x:v>
      </x:c>
      <x:c r="L29" s="16" t="n">
        <x:v>-21</x:v>
      </x:c>
      <x:c r="M29" s="14" t="n">
        <x:v>-21</x:v>
      </x:c>
    </x:row>
    <x:row r="30">
      <x:c r="A30" t="str">
        <x:v>Winter Soldier</x:v>
      </x:c>
      <x:c r="B30" t="n">
        <x:v>1</x:v>
      </x:c>
      <x:c r="C30" t="n">
        <x:v>0</x:v>
      </x:c>
      <x:c r="D30" t="n">
        <x:v>1</x:v>
      </x:c>
      <x:c r="E30" t="n">
        <x:v>0</x:v>
      </x:c>
      <x:c r="F30" s="30" t="n">
        <x:v>0</x:v>
      </x:c>
      <x:c r="G30" s="16" t="n">
        <x:v>26</x:v>
      </x:c>
      <x:c r="H30" s="16" t="n">
        <x:v>12</x:v>
      </x:c>
      <x:c r="I30" s="16" t="n">
        <x:v>6</x:v>
      </x:c>
      <x:c r="J30" s="16" t="n">
        <x:v>2.6666666666666665</x:v>
      </x:c>
      <x:c r="K30" s="16" t="n">
        <x:v>2.67</x:v>
      </x:c>
      <x:c r="L30" s="16" t="n">
        <x:v>-20</x:v>
      </x:c>
      <x:c r="M30" s="14" t="n">
        <x:v>-20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84becbf98c454b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860000133514404" hidden="0" customWidth="1"/>
    <x:col min="3" max="3" width="3.9000000953674316" hidden="0" customWidth="1"/>
    <x:col min="4" max="4" width="5.110000133514404" hidden="0" customWidth="1"/>
    <x:col min="5" max="5" width="4.849999904632568" hidden="0" customWidth="1"/>
    <x:col min="6" max="6" width="10.359999656677246" hidden="0" customWidth="1"/>
    <x:col min="7" max="7" width="10.359999656677246" hidden="0" customWidth="1"/>
    <x:col min="8" max="8" width="10.359999656677246" hidden="0" customWidth="1"/>
    <x:col min="9" max="9" width="10.359999656677246" hidden="0" customWidth="1"/>
    <x:col min="10" max="10" width="10.359999656677246" hidden="0" customWidth="1"/>
    <x:col min="11" max="11" width="15.609999656677246" hidden="0" customWidth="1"/>
    <x:col min="12" max="12" width="12.920000076293945" hidden="0" customWidth="1"/>
    <x:col min="13" max="13" width="14" hidden="0" customWidth="1"/>
  </x:cols>
  <x:sheetData>
    <x:row r="1">
      <x:c r="A1" s="20" t="str">
        <x:v>Competitive Performance by Map</x:v>
      </x:c>
    </x:row>
    <x:row r="3">
      <x:c r="A3" s="26" t="str">
        <x:v>Category</x:v>
      </x:c>
      <x:c r="B3" s="26" t="str">
        <x:v>Matches</x:v>
      </x:c>
      <x:c r="C3" s="26" t="str">
        <x:v>Wins</x:v>
      </x:c>
      <x:c r="D3" s="26" t="str">
        <x:v>Losses</x:v>
      </x:c>
      <x:c r="E3" s="26" t="str">
        <x:v>Draws</x:v>
      </x:c>
      <x:c r="F3" s="26" t="str">
        <x:v>Win_Rate</x:v>
      </x:c>
      <x:c r="G3" s="26" t="str">
        <x:v>Avg_Kills</x:v>
      </x:c>
      <x:c r="H3" s="26" t="str">
        <x:v>Avg_Deaths</x:v>
      </x:c>
      <x:c r="I3" s="26" t="str">
        <x:v>Avg_Assists</x:v>
      </x:c>
      <x:c r="J3" s="26" t="str">
        <x:v>Overall_KDA</x:v>
      </x:c>
      <x:c r="K3" s="26" t="str">
        <x:v>Avg_Reported_KDA</x:v>
      </x:c>
      <x:c r="L3" s="26" t="str">
        <x:v>Avg_Rank_Delta</x:v>
      </x:c>
      <x:c r="M3" s="26" t="str">
        <x:v>Total_Rank_Delta</x:v>
      </x:c>
    </x:row>
    <x:row r="4">
      <x:c r="A4" t="str">
        <x:v>Spider-Islands</x:v>
      </x:c>
      <x:c r="B4" t="n">
        <x:v>33</x:v>
      </x:c>
      <x:c r="C4" t="n">
        <x:v>21</x:v>
      </x:c>
      <x:c r="D4" t="n">
        <x:v>12</x:v>
      </x:c>
      <x:c r="E4" t="n">
        <x:v>0</x:v>
      </x:c>
      <x:c r="F4" s="30" t="n">
        <x:v>0.6363636363636364</x:v>
      </x:c>
      <x:c r="G4" s="16" t="n">
        <x:v>21.96969696969697</x:v>
      </x:c>
      <x:c r="H4" s="16" t="n">
        <x:v>10</x:v>
      </x:c>
      <x:c r="I4" s="16" t="n">
        <x:v>9.333333333333334</x:v>
      </x:c>
      <x:c r="J4" s="16" t="n">
        <x:v>3.1303030303030304</x:v>
      </x:c>
      <x:c r="K4" s="16" t="n">
        <x:v>4.4775757575757575</x:v>
      </x:c>
      <x:c r="L4" s="16" t="n">
        <x:v>7.818181818181818</x:v>
      </x:c>
      <x:c r="M4" s="14" t="n">
        <x:v>258</x:v>
      </x:c>
    </x:row>
    <x:row r="5">
      <x:c r="A5" t="str">
        <x:v>Arakko</x:v>
      </x:c>
      <x:c r="B5" t="n">
        <x:v>32</x:v>
      </x:c>
      <x:c r="C5" t="n">
        <x:v>16</x:v>
      </x:c>
      <x:c r="D5" t="n">
        <x:v>16</x:v>
      </x:c>
      <x:c r="E5" t="n">
        <x:v>0</x:v>
      </x:c>
      <x:c r="F5" s="30" t="n">
        <x:v>0.5</x:v>
      </x:c>
      <x:c r="G5" s="16" t="n">
        <x:v>18.53125</x:v>
      </x:c>
      <x:c r="H5" s="16" t="n">
        <x:v>9.875</x:v>
      </x:c>
      <x:c r="I5" s="16" t="n">
        <x:v>9.65625</x:v>
      </x:c>
      <x:c r="J5" s="16" t="n">
        <x:v>2.8544303797468356</x:v>
      </x:c>
      <x:c r="K5" s="16" t="n">
        <x:v>3.4140625</x:v>
      </x:c>
      <x:c r="L5" s="16" t="n">
        <x:v>1.6875</x:v>
      </x:c>
      <x:c r="M5" s="14" t="n">
        <x:v>54</x:v>
      </x:c>
    </x:row>
    <x:row r="6">
      <x:c r="A6" t="str">
        <x:v>Central Park</x:v>
      </x:c>
      <x:c r="B6" t="n">
        <x:v>32</x:v>
      </x:c>
      <x:c r="C6" t="n">
        <x:v>12</x:v>
      </x:c>
      <x:c r="D6" t="n">
        <x:v>20</x:v>
      </x:c>
      <x:c r="E6" t="n">
        <x:v>0</x:v>
      </x:c>
      <x:c r="F6" s="30" t="n">
        <x:v>0.375</x:v>
      </x:c>
      <x:c r="G6" s="16" t="n">
        <x:v>19.40625</x:v>
      </x:c>
      <x:c r="H6" s="16" t="n">
        <x:v>10.34375</x:v>
      </x:c>
      <x:c r="I6" s="16" t="n">
        <x:v>7.40625</x:v>
      </x:c>
      <x:c r="J6" s="16" t="n">
        <x:v>2.59214501510574</x:v>
      </x:c>
      <x:c r="K6" s="16" t="n">
        <x:v>3.1240625</x:v>
      </x:c>
      <x:c r="L6" s="16" t="n">
        <x:v>-2.78125</x:v>
      </x:c>
      <x:c r="M6" s="14" t="n">
        <x:v>-89</x:v>
      </x:c>
    </x:row>
    <x:row r="7">
      <x:c r="A7" t="str">
        <x:v>Hall Of Djalia</x:v>
      </x:c>
      <x:c r="B7" t="n">
        <x:v>30</x:v>
      </x:c>
      <x:c r="C7" t="n">
        <x:v>13</x:v>
      </x:c>
      <x:c r="D7" t="n">
        <x:v>16</x:v>
      </x:c>
      <x:c r="E7" t="n">
        <x:v>1</x:v>
      </x:c>
      <x:c r="F7" s="30" t="n">
        <x:v>0.43333333333333335</x:v>
      </x:c>
      <x:c r="G7" s="16" t="n">
        <x:v>18.7</x:v>
      </x:c>
      <x:c r="H7" s="16" t="n">
        <x:v>8.866666666666667</x:v>
      </x:c>
      <x:c r="I7" s="16" t="n">
        <x:v>9.566666666666666</x:v>
      </x:c>
      <x:c r="J7" s="16" t="n">
        <x:v>3.18796992481203</x:v>
      </x:c>
      <x:c r="K7" s="16" t="n">
        <x:v>5.297666666666667</x:v>
      </x:c>
      <x:c r="L7" s="16" t="n">
        <x:v>-0.7333333333333333</x:v>
      </x:c>
      <x:c r="M7" s="14" t="n">
        <x:v>-22</x:v>
      </x:c>
    </x:row>
    <x:row r="8">
      <x:c r="A8" t="str">
        <x:v>Museum of Contemplation</x:v>
      </x:c>
      <x:c r="B8" t="n">
        <x:v>30</x:v>
      </x:c>
      <x:c r="C8" t="n">
        <x:v>10</x:v>
      </x:c>
      <x:c r="D8" t="n">
        <x:v>20</x:v>
      </x:c>
      <x:c r="E8" t="n">
        <x:v>0</x:v>
      </x:c>
      <x:c r="F8" s="30" t="n">
        <x:v>0.3333333333333333</x:v>
      </x:c>
      <x:c r="G8" s="16" t="n">
        <x:v>19.666666666666668</x:v>
      </x:c>
      <x:c r="H8" s="16" t="n">
        <x:v>9.166666666666666</x:v>
      </x:c>
      <x:c r="I8" s="16" t="n">
        <x:v>9.6</x:v>
      </x:c>
      <x:c r="J8" s="16" t="n">
        <x:v>3.192727272727273</x:v>
      </x:c>
      <x:c r="K8" s="16" t="n">
        <x:v>5.5169999999999995</x:v>
      </x:c>
      <x:c r="L8" s="16" t="n">
        <x:v>-6.233333333333333</x:v>
      </x:c>
      <x:c r="M8" s="14" t="n">
        <x:v>-187</x:v>
      </x:c>
    </x:row>
    <x:row r="9">
      <x:c r="A9" t="str">
        <x:v>Birnin T'Challa</x:v>
      </x:c>
      <x:c r="B9" t="n">
        <x:v>29</x:v>
      </x:c>
      <x:c r="C9" t="n">
        <x:v>18</x:v>
      </x:c>
      <x:c r="D9" t="n">
        <x:v>11</x:v>
      </x:c>
      <x:c r="E9" t="n">
        <x:v>0</x:v>
      </x:c>
      <x:c r="F9" s="30" t="n">
        <x:v>0.6206896551724138</x:v>
      </x:c>
      <x:c r="G9" s="16" t="n">
        <x:v>15.482758620689655</x:v>
      </x:c>
      <x:c r="H9" s="16" t="n">
        <x:v>6.379310344827586</x:v>
      </x:c>
      <x:c r="I9" s="16" t="n">
        <x:v>8.241379310344827</x:v>
      </x:c>
      <x:c r="J9" s="16" t="n">
        <x:v>3.718918918918919</x:v>
      </x:c>
      <x:c r="K9" s="16" t="n">
        <x:v>5.201724137931034</x:v>
      </x:c>
      <x:c r="L9" s="16" t="n">
        <x:v>6.827586206896552</x:v>
      </x:c>
      <x:c r="M9" s="14" t="n">
        <x:v>198</x:v>
      </x:c>
    </x:row>
    <x:row r="10">
      <x:c r="A10" t="str">
        <x:v>Yggdrasill Path</x:v>
      </x:c>
      <x:c r="B10" t="n">
        <x:v>29</x:v>
      </x:c>
      <x:c r="C10" t="n">
        <x:v>15</x:v>
      </x:c>
      <x:c r="D10" t="n">
        <x:v>14</x:v>
      </x:c>
      <x:c r="E10" t="n">
        <x:v>0</x:v>
      </x:c>
      <x:c r="F10" s="30" t="n">
        <x:v>0.5172413793103449</x:v>
      </x:c>
      <x:c r="G10" s="16" t="n">
        <x:v>21.75862068965517</x:v>
      </x:c>
      <x:c r="H10" s="16" t="n">
        <x:v>9.862068965517242</x:v>
      </x:c>
      <x:c r="I10" s="16" t="n">
        <x:v>11.758620689655173</x:v>
      </x:c>
      <x:c r="J10" s="16" t="n">
        <x:v>3.3986013986013988</x:v>
      </x:c>
      <x:c r="K10" s="16" t="n">
        <x:v>5.689655172413793</x:v>
      </x:c>
      <x:c r="L10" s="16" t="n">
        <x:v>2</x:v>
      </x:c>
      <x:c r="M10" s="14" t="n">
        <x:v>58</x:v>
      </x:c>
    </x:row>
    <x:row r="11">
      <x:c r="A11" t="str">
        <x:v>Symbiotic Surface</x:v>
      </x:c>
      <x:c r="B11" t="n">
        <x:v>28</x:v>
      </x:c>
      <x:c r="C11" t="n">
        <x:v>10</x:v>
      </x:c>
      <x:c r="D11" t="n">
        <x:v>17</x:v>
      </x:c>
      <x:c r="E11" t="n">
        <x:v>1</x:v>
      </x:c>
      <x:c r="F11" s="30" t="n">
        <x:v>0.35714285714285715</x:v>
      </x:c>
      <x:c r="G11" s="16" t="n">
        <x:v>22.107142857142858</x:v>
      </x:c>
      <x:c r="H11" s="16" t="n">
        <x:v>9.428571428571429</x:v>
      </x:c>
      <x:c r="I11" s="16" t="n">
        <x:v>11</x:v>
      </x:c>
      <x:c r="J11" s="16" t="n">
        <x:v>3.5113636363636362</x:v>
      </x:c>
      <x:c r="K11" s="16" t="n">
        <x:v>5.062857142857142</x:v>
      </x:c>
      <x:c r="L11" s="16" t="n">
        <x:v>-4.75</x:v>
      </x:c>
      <x:c r="M11" s="14" t="n">
        <x:v>-133</x:v>
      </x:c>
    </x:row>
    <x:row r="12">
      <x:c r="A12" t="str">
        <x:v>Heart Of Heaven</x:v>
      </x:c>
      <x:c r="B12" t="n">
        <x:v>26</x:v>
      </x:c>
      <x:c r="C12" t="n">
        <x:v>12</x:v>
      </x:c>
      <x:c r="D12" t="n">
        <x:v>14</x:v>
      </x:c>
      <x:c r="E12" t="n">
        <x:v>0</x:v>
      </x:c>
      <x:c r="F12" s="30" t="n">
        <x:v>0.46153846153846156</x:v>
      </x:c>
      <x:c r="G12" s="16" t="n">
        <x:v>17.884615384615383</x:v>
      </x:c>
      <x:c r="H12" s="16" t="n">
        <x:v>9.923076923076923</x:v>
      </x:c>
      <x:c r="I12" s="16" t="n">
        <x:v>8.73076923076923</x:v>
      </x:c>
      <x:c r="J12" s="16" t="n">
        <x:v>2.682170542635659</x:v>
      </x:c>
      <x:c r="K12" s="16" t="n">
        <x:v>4.961538461538462</x:v>
      </x:c>
      <x:c r="L12" s="16" t="n">
        <x:v>-2.3461538461538463</x:v>
      </x:c>
      <x:c r="M12" s="14" t="n">
        <x:v>-61</x:v>
      </x:c>
    </x:row>
    <x:row r="13">
      <x:c r="A13" t="str">
        <x:v>Midtown</x:v>
      </x:c>
      <x:c r="B13" t="n">
        <x:v>26</x:v>
      </x:c>
      <x:c r="C13" t="n">
        <x:v>9</x:v>
      </x:c>
      <x:c r="D13" t="n">
        <x:v>17</x:v>
      </x:c>
      <x:c r="E13" t="n">
        <x:v>0</x:v>
      </x:c>
      <x:c r="F13" s="30" t="n">
        <x:v>0.34615384615384615</x:v>
      </x:c>
      <x:c r="G13" s="16" t="n">
        <x:v>20.615384615384617</x:v>
      </x:c>
      <x:c r="H13" s="16" t="n">
        <x:v>10.038461538461538</x:v>
      </x:c>
      <x:c r="I13" s="16" t="n">
        <x:v>14.23076923076923</x:v>
      </x:c>
      <x:c r="J13" s="16" t="n">
        <x:v>3.471264367816092</x:v>
      </x:c>
      <x:c r="K13" s="16" t="n">
        <x:v>5.28923076923077</x:v>
      </x:c>
      <x:c r="L13" s="16" t="n">
        <x:v>-5.230769230769231</x:v>
      </x:c>
      <x:c r="M13" s="14" t="n">
        <x:v>-136</x:v>
      </x:c>
    </x:row>
    <x:row r="14">
      <x:c r="A14" t="str">
        <x:v>Celestial Husk</x:v>
      </x:c>
      <x:c r="B14" t="n">
        <x:v>25</x:v>
      </x:c>
      <x:c r="C14" t="n">
        <x:v>14</x:v>
      </x:c>
      <x:c r="D14" t="n">
        <x:v>11</x:v>
      </x:c>
      <x:c r="E14" t="n">
        <x:v>0</x:v>
      </x:c>
      <x:c r="F14" s="30" t="n">
        <x:v>0.56</x:v>
      </x:c>
      <x:c r="G14" s="16" t="n">
        <x:v>15.28</x:v>
      </x:c>
      <x:c r="H14" s="16" t="n">
        <x:v>6.36</x:v>
      </x:c>
      <x:c r="I14" s="16" t="n">
        <x:v>11.2</x:v>
      </x:c>
      <x:c r="J14" s="16" t="n">
        <x:v>4.163522012578617</x:v>
      </x:c>
      <x:c r="K14" s="16" t="n">
        <x:v>7.9692</x:v>
      </x:c>
      <x:c r="L14" s="16" t="n">
        <x:v>3.2</x:v>
      </x:c>
      <x:c r="M14" s="14" t="n">
        <x:v>80</x:v>
      </x:c>
    </x:row>
    <x:row r="15">
      <x:c r="A15" t="str">
        <x:v>Hell's Heaven</x:v>
      </x:c>
      <x:c r="B15" t="n">
        <x:v>23</x:v>
      </x:c>
      <x:c r="C15" t="n">
        <x:v>12</x:v>
      </x:c>
      <x:c r="D15" t="n">
        <x:v>11</x:v>
      </x:c>
      <x:c r="E15" t="n">
        <x:v>0</x:v>
      </x:c>
      <x:c r="F15" s="30" t="n">
        <x:v>0.5217391304347826</x:v>
      </x:c>
      <x:c r="G15" s="16" t="n">
        <x:v>16.869565217391305</x:v>
      </x:c>
      <x:c r="H15" s="16" t="n">
        <x:v>7.739130434782608</x:v>
      </x:c>
      <x:c r="I15" s="16" t="n">
        <x:v>8.695652173913043</x:v>
      </x:c>
      <x:c r="J15" s="16" t="n">
        <x:v>3.303370786516854</x:v>
      </x:c>
      <x:c r="K15" s="16" t="n">
        <x:v>5.17304347826087</x:v>
      </x:c>
      <x:c r="L15" s="16" t="n">
        <x:v>0.7391304347826086</x:v>
      </x:c>
      <x:c r="M15" s="14" t="n">
        <x:v>17</x:v>
      </x:c>
    </x:row>
    <x:row r="16">
      <x:c r="A16" t="str">
        <x:v>Krakoa</x:v>
      </x:c>
      <x:c r="B16" t="n">
        <x:v>23</x:v>
      </x:c>
      <x:c r="C16" t="n">
        <x:v>13</x:v>
      </x:c>
      <x:c r="D16" t="n">
        <x:v>10</x:v>
      </x:c>
      <x:c r="E16" t="n">
        <x:v>0</x:v>
      </x:c>
      <x:c r="F16" s="30" t="n">
        <x:v>0.5652173913043478</x:v>
      </x:c>
      <x:c r="G16" s="16" t="n">
        <x:v>15.434782608695652</x:v>
      </x:c>
      <x:c r="H16" s="16" t="n">
        <x:v>6.043478260869565</x:v>
      </x:c>
      <x:c r="I16" s="16" t="n">
        <x:v>8.565217391304348</x:v>
      </x:c>
      <x:c r="J16" s="16" t="n">
        <x:v>3.971223021582734</x:v>
      </x:c>
      <x:c r="K16" s="16" t="n">
        <x:v>5.708695652173914</x:v>
      </x:c>
      <x:c r="L16" s="16" t="n">
        <x:v>5.521739130434782</x:v>
      </x:c>
      <x:c r="M16" s="14" t="n">
        <x:v>127</x:v>
      </x:c>
    </x:row>
    <x:row r="17">
      <x:c r="A17" t="str">
        <x:v>Shin-Shibuya</x:v>
      </x:c>
      <x:c r="B17" t="n">
        <x:v>22</x:v>
      </x:c>
      <x:c r="C17" t="n">
        <x:v>13</x:v>
      </x:c>
      <x:c r="D17" t="n">
        <x:v>7</x:v>
      </x:c>
      <x:c r="E17" t="n">
        <x:v>2</x:v>
      </x:c>
      <x:c r="F17" s="30" t="n">
        <x:v>0.5909090909090909</x:v>
      </x:c>
      <x:c r="G17" s="16" t="n">
        <x:v>20.136363636363637</x:v>
      </x:c>
      <x:c r="H17" s="16" t="n">
        <x:v>8.227272727272727</x:v>
      </x:c>
      <x:c r="I17" s="16" t="n">
        <x:v>10.5</x:v>
      </x:c>
      <x:c r="J17" s="16" t="n">
        <x:v>3.723756906077348</x:v>
      </x:c>
      <x:c r="K17" s="16" t="n">
        <x:v>6.074090909090909</x:v>
      </x:c>
      <x:c r="L17" s="16" t="n">
        <x:v>6.681818181818182</x:v>
      </x:c>
      <x:c r="M17" s="14" t="n">
        <x:v>147</x:v>
      </x:c>
    </x:row>
    <x:row r="18">
      <x:c r="A18" t="str">
        <x:v>Unknown / not captured</x:v>
      </x:c>
      <x:c r="B18" t="n">
        <x:v>20</x:v>
      </x:c>
      <x:c r="C18" t="n">
        <x:v>12</x:v>
      </x:c>
      <x:c r="D18" t="n">
        <x:v>7</x:v>
      </x:c>
      <x:c r="E18" t="n">
        <x:v>1</x:v>
      </x:c>
      <x:c r="F18" s="30" t="n">
        <x:v>0.6</x:v>
      </x:c>
      <x:c r="G18" s="16" t="n">
        <x:v>20.3</x:v>
      </x:c>
      <x:c r="H18" s="16" t="n">
        <x:v>9.55</x:v>
      </x:c>
      <x:c r="I18" s="16" t="n">
        <x:v>6.7</x:v>
      </x:c>
      <x:c r="J18" s="16" t="n">
        <x:v>2.8272251308900525</x:v>
      </x:c>
      <x:c r="K18" s="16" t="n">
        <x:v>3.755</x:v>
      </x:c>
      <x:c r="L18" s="16" t="n">
        <x:v>5.05</x:v>
      </x:c>
      <x:c r="M18" s="14" t="n">
        <x:v>101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e243066e92948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.860000133514404" hidden="0" customWidth="1"/>
    <x:col min="3" max="3" width="3.9000000953674316" hidden="0" customWidth="1"/>
    <x:col min="4" max="4" width="5.110000133514404" hidden="0" customWidth="1"/>
    <x:col min="5" max="5" width="4.849999904632568" hidden="0" customWidth="1"/>
    <x:col min="6" max="6" width="10.359999656677246" hidden="0" customWidth="1"/>
    <x:col min="7" max="7" width="10.359999656677246" hidden="0" customWidth="1"/>
    <x:col min="8" max="8" width="10.359999656677246" hidden="0" customWidth="1"/>
    <x:col min="9" max="9" width="10.359999656677246" hidden="0" customWidth="1"/>
    <x:col min="10" max="10" width="10.359999656677246" hidden="0" customWidth="1"/>
    <x:col min="11" max="11" width="15.609999656677246" hidden="0" customWidth="1"/>
    <x:col min="12" max="12" width="12.920000076293945" hidden="0" customWidth="1"/>
    <x:col min="13" max="13" width="14" hidden="0" customWidth="1"/>
  </x:cols>
  <x:sheetData>
    <x:row r="1">
      <x:c r="A1" s="20" t="str">
        <x:v>Competitive Performance by Game Type</x:v>
      </x:c>
    </x:row>
    <x:row r="3">
      <x:c r="A3" s="26" t="str">
        <x:v>Category</x:v>
      </x:c>
      <x:c r="B3" s="26" t="str">
        <x:v>Matches</x:v>
      </x:c>
      <x:c r="C3" s="26" t="str">
        <x:v>Wins</x:v>
      </x:c>
      <x:c r="D3" s="26" t="str">
        <x:v>Losses</x:v>
      </x:c>
      <x:c r="E3" s="26" t="str">
        <x:v>Draws</x:v>
      </x:c>
      <x:c r="F3" s="26" t="str">
        <x:v>Win_Rate</x:v>
      </x:c>
      <x:c r="G3" s="26" t="str">
        <x:v>Avg_Kills</x:v>
      </x:c>
      <x:c r="H3" s="26" t="str">
        <x:v>Avg_Deaths</x:v>
      </x:c>
      <x:c r="I3" s="26" t="str">
        <x:v>Avg_Assists</x:v>
      </x:c>
      <x:c r="J3" s="26" t="str">
        <x:v>Overall_KDA</x:v>
      </x:c>
      <x:c r="K3" s="26" t="str">
        <x:v>Avg_Reported_KDA</x:v>
      </x:c>
      <x:c r="L3" s="26" t="str">
        <x:v>Avg_Rank_Delta</x:v>
      </x:c>
      <x:c r="M3" s="26" t="str">
        <x:v>Total_Rank_Delta</x:v>
      </x:c>
    </x:row>
    <x:row r="4">
      <x:c r="A4" t="str">
        <x:v>Convergence</x:v>
      </x:c>
      <x:c r="B4" t="n">
        <x:v>158</x:v>
      </x:c>
      <x:c r="C4" t="n">
        <x:v>72</x:v>
      </x:c>
      <x:c r="D4" t="n">
        <x:v>81</x:v>
      </x:c>
      <x:c r="E4" t="n">
        <x:v>5</x:v>
      </x:c>
      <x:c r="F4" s="30" t="n">
        <x:v>0.45569620253164556</x:v>
      </x:c>
      <x:c r="G4" s="16" t="n">
        <x:v>19.71518987341772</x:v>
      </x:c>
      <x:c r="H4" s="16" t="n">
        <x:v>9.436708860759493</x:v>
      </x:c>
      <x:c r="I4" s="16" t="n">
        <x:v>9.012658227848101</x:v>
      </x:c>
      <x:c r="J4" s="16" t="n">
        <x:v>3.0442655935613683</x:v>
      </x:c>
      <x:c r="K4" s="16" t="n">
        <x:v>4.673354430379747</x:v>
      </x:c>
      <x:c r="L4" s="16" t="n">
        <x:v>-0.36075949367088606</x:v>
      </x:c>
      <x:c r="M4" s="14" t="n">
        <x:v>-57</x:v>
      </x:c>
    </x:row>
    <x:row r="5">
      <x:c r="A5" t="str">
        <x:v>Convoy</x:v>
      </x:c>
      <x:c r="B5" t="n">
        <x:v>150</x:v>
      </x:c>
      <x:c r="C5" t="n">
        <x:v>71</x:v>
      </x:c>
      <x:c r="D5" t="n">
        <x:v>79</x:v>
      </x:c>
      <x:c r="E5" t="n">
        <x:v>0</x:v>
      </x:c>
      <x:c r="F5" s="30" t="n">
        <x:v>0.47333333333333333</x:v>
      </x:c>
      <x:c r="G5" s="16" t="n">
        <x:v>20.5</x:v>
      </x:c>
      <x:c r="H5" s="16" t="n">
        <x:v>9.786666666666667</x:v>
      </x:c>
      <x:c r="I5" s="16" t="n">
        <x:v>10.773333333333333</x:v>
      </x:c>
      <x:c r="J5" s="16" t="n">
        <x:v>3.1955040871934606</x:v>
      </x:c>
      <x:c r="K5" s="16" t="n">
        <x:v>4.8336</x:v>
      </x:c>
      <x:c r="L5" s="16" t="n">
        <x:v>0.31333333333333335</x:v>
      </x:c>
      <x:c r="M5" s="14" t="n">
        <x:v>47</x:v>
      </x:c>
    </x:row>
    <x:row r="6">
      <x:c r="A6" t="str">
        <x:v>Domination</x:v>
      </x:c>
      <x:c r="B6" t="n">
        <x:v>100</x:v>
      </x:c>
      <x:c r="C6" t="n">
        <x:v>57</x:v>
      </x:c>
      <x:c r="D6" t="n">
        <x:v>43</x:v>
      </x:c>
      <x:c r="E6" t="n">
        <x:v>0</x:v>
      </x:c>
      <x:c r="F6" s="30" t="n">
        <x:v>0.57</x:v>
      </x:c>
      <x:c r="G6" s="16" t="n">
        <x:v>15.74</x:v>
      </x:c>
      <x:c r="H6" s="16" t="n">
        <x:v>6.61</x:v>
      </x:c>
      <x:c r="I6" s="16" t="n">
        <x:v>9.16</x:v>
      </x:c>
      <x:c r="J6" s="16" t="n">
        <x:v>3.767019667170953</x:v>
      </x:c>
      <x:c r="K6" s="16" t="n">
        <x:v>6.0036000000000005</x:v>
      </x:c>
      <x:c r="L6" s="16" t="n">
        <x:v>4.22</x:v>
      </x:c>
      <x:c r="M6" s="14" t="n">
        <x:v>422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0beae0a5d2c4a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7" hidden="0" customWidth="1"/>
    <x:col min="3" max="3" width="4.039999961853027" hidden="0" customWidth="1"/>
    <x:col min="4" max="4" width="5.110000133514404" hidden="0" customWidth="1"/>
    <x:col min="5" max="5" width="4.980000019073486" hidden="0" customWidth="1"/>
    <x:col min="6" max="6" width="7.940000057220459" hidden="0" customWidth="1"/>
    <x:col min="7" max="7" width="7.269999980926514" hidden="0" customWidth="1"/>
    <x:col min="8" max="8" width="9.6899995803833" hidden="0" customWidth="1"/>
    <x:col min="9" max="9" width="9.420000076293945" hidden="0" customWidth="1"/>
    <x:col min="10" max="10" width="14.399999618530273" hidden="0" customWidth="1"/>
  </x:cols>
  <x:sheetData>
    <x:row r="1">
      <x:c r="A1" s="20" t="str">
        <x:v>Daily Competitive Trend</x:v>
      </x:c>
    </x:row>
    <x:row r="3">
      <x:c r="A3" s="26" t="str">
        <x:v>Match_Date</x:v>
      </x:c>
      <x:c r="B3" s="26" t="str">
        <x:v>Matches</x:v>
      </x:c>
      <x:c r="C3" s="26" t="str">
        <x:v>Wins</x:v>
      </x:c>
      <x:c r="D3" s="26" t="str">
        <x:v>Losses</x:v>
      </x:c>
      <x:c r="E3" s="26" t="str">
        <x:v>Draws</x:v>
      </x:c>
      <x:c r="F3" s="26" t="str">
        <x:v>Win_Rate</x:v>
      </x:c>
      <x:c r="G3" s="26" t="str">
        <x:v>Avg_Kills</x:v>
      </x:c>
      <x:c r="H3" s="26" t="str">
        <x:v>Avg_Deaths</x:v>
      </x:c>
      <x:c r="I3" s="26" t="str">
        <x:v>Avg_Assists</x:v>
      </x:c>
      <x:c r="J3" s="26" t="str">
        <x:v>Total_Rank_Delta</x:v>
      </x:c>
    </x:row>
    <x:row r="4">
      <x:c r="A4" s="12" t="n">
        <x:v>46177</x:v>
      </x:c>
      <x:c r="B4" t="n">
        <x:v>1</x:v>
      </x:c>
      <x:c r="C4" t="n">
        <x:v>0</x:v>
      </x:c>
      <x:c r="D4" t="n">
        <x:v>1</x:v>
      </x:c>
      <x:c r="E4" t="n">
        <x:v>0</x:v>
      </x:c>
      <x:c r="F4" s="30" t="n">
        <x:v>0</x:v>
      </x:c>
      <x:c r="G4" s="16" t="n">
        <x:v>13</x:v>
      </x:c>
      <x:c r="H4" s="16" t="n">
        <x:v>7</x:v>
      </x:c>
      <x:c r="I4" s="16" t="n">
        <x:v>1</x:v>
      </x:c>
      <x:c r="J4" t="n">
        <x:v>-15</x:v>
      </x:c>
    </x:row>
    <x:row r="5">
      <x:c r="A5" s="12" t="n">
        <x:v>46176</x:v>
      </x:c>
      <x:c r="B5" t="n">
        <x:v>6</x:v>
      </x:c>
      <x:c r="C5" t="n">
        <x:v>3</x:v>
      </x:c>
      <x:c r="D5" t="n">
        <x:v>3</x:v>
      </x:c>
      <x:c r="E5" t="n">
        <x:v>0</x:v>
      </x:c>
      <x:c r="F5" s="30" t="n">
        <x:v>0.5</x:v>
      </x:c>
      <x:c r="G5" s="16" t="n">
        <x:v>16.166666666666668</x:v>
      </x:c>
      <x:c r="H5" s="16" t="n">
        <x:v>9.333333333333334</x:v>
      </x:c>
      <x:c r="I5" s="16" t="n">
        <x:v>7.166666666666667</x:v>
      </x:c>
      <x:c r="J5" t="n">
        <x:v>-5</x:v>
      </x:c>
    </x:row>
    <x:row r="6">
      <x:c r="A6" s="12" t="n">
        <x:v>46175</x:v>
      </x:c>
      <x:c r="B6" t="n">
        <x:v>14</x:v>
      </x:c>
      <x:c r="C6" t="n">
        <x:v>6</x:v>
      </x:c>
      <x:c r="D6" t="n">
        <x:v>8</x:v>
      </x:c>
      <x:c r="E6" t="n">
        <x:v>0</x:v>
      </x:c>
      <x:c r="F6" s="30" t="n">
        <x:v>0.42857142857142855</x:v>
      </x:c>
      <x:c r="G6" s="16" t="n">
        <x:v>15.357142857142858</x:v>
      </x:c>
      <x:c r="H6" s="16" t="n">
        <x:v>8.285714285714286</x:v>
      </x:c>
      <x:c r="I6" s="16" t="n">
        <x:v>7.357142857142857</x:v>
      </x:c>
      <x:c r="J6" t="n">
        <x:v>-52</x:v>
      </x:c>
    </x:row>
    <x:row r="7">
      <x:c r="A7" s="12" t="n">
        <x:v>46173</x:v>
      </x:c>
      <x:c r="B7" t="n">
        <x:v>2</x:v>
      </x:c>
      <x:c r="C7" t="n">
        <x:v>1</x:v>
      </x:c>
      <x:c r="D7" t="n">
        <x:v>1</x:v>
      </x:c>
      <x:c r="E7" t="n">
        <x:v>0</x:v>
      </x:c>
      <x:c r="F7" s="30" t="n">
        <x:v>0.5</x:v>
      </x:c>
      <x:c r="G7" s="16" t="n">
        <x:v>23</x:v>
      </x:c>
      <x:c r="H7" s="16" t="n">
        <x:v>11</x:v>
      </x:c>
      <x:c r="I7" s="16" t="n">
        <x:v>6</x:v>
      </x:c>
      <x:c r="J7" t="n">
        <x:v>1</x:v>
      </x:c>
    </x:row>
    <x:row r="8">
      <x:c r="A8" s="12" t="n">
        <x:v>46172</x:v>
      </x:c>
      <x:c r="B8" t="n">
        <x:v>5</x:v>
      </x:c>
      <x:c r="C8" t="n">
        <x:v>3</x:v>
      </x:c>
      <x:c r="D8" t="n">
        <x:v>2</x:v>
      </x:c>
      <x:c r="E8" t="n">
        <x:v>0</x:v>
      </x:c>
      <x:c r="F8" s="30" t="n">
        <x:v>0.6</x:v>
      </x:c>
      <x:c r="G8" s="16" t="n">
        <x:v>18.6</x:v>
      </x:c>
      <x:c r="H8" s="16" t="n">
        <x:v>8.6</x:v>
      </x:c>
      <x:c r="I8" s="16" t="n">
        <x:v>4.2</x:v>
      </x:c>
      <x:c r="J8" t="n">
        <x:v>21</x:v>
      </x:c>
    </x:row>
    <x:row r="9">
      <x:c r="A9" s="12" t="n">
        <x:v>46171</x:v>
      </x:c>
      <x:c r="B9" t="n">
        <x:v>7</x:v>
      </x:c>
      <x:c r="C9" t="n">
        <x:v>3</x:v>
      </x:c>
      <x:c r="D9" t="n">
        <x:v>4</x:v>
      </x:c>
      <x:c r="E9" t="n">
        <x:v>0</x:v>
      </x:c>
      <x:c r="F9" s="30" t="n">
        <x:v>0.42857142857142855</x:v>
      </x:c>
      <x:c r="G9" s="16" t="n">
        <x:v>24.142857142857142</x:v>
      </x:c>
      <x:c r="H9" s="16" t="n">
        <x:v>11.285714285714286</x:v>
      </x:c>
      <x:c r="I9" s="16" t="n">
        <x:v>10.428571428571429</x:v>
      </x:c>
      <x:c r="J9" t="n">
        <x:v>-26</x:v>
      </x:c>
    </x:row>
    <x:row r="10">
      <x:c r="A10" s="12" t="n">
        <x:v>46170</x:v>
      </x:c>
      <x:c r="B10" t="n">
        <x:v>10</x:v>
      </x:c>
      <x:c r="C10" t="n">
        <x:v>2</x:v>
      </x:c>
      <x:c r="D10" t="n">
        <x:v>7</x:v>
      </x:c>
      <x:c r="E10" t="n">
        <x:v>1</x:v>
      </x:c>
      <x:c r="F10" s="30" t="n">
        <x:v>0.2</x:v>
      </x:c>
      <x:c r="G10" s="16" t="n">
        <x:v>13.4</x:v>
      </x:c>
      <x:c r="H10" s="16" t="n">
        <x:v>9.8</x:v>
      </x:c>
      <x:c r="I10" s="16" t="n">
        <x:v>9</x:v>
      </x:c>
      <x:c r="J10" t="n">
        <x:v>-116</x:v>
      </x:c>
    </x:row>
    <x:row r="11">
      <x:c r="A11" s="12" t="n">
        <x:v>46169</x:v>
      </x:c>
      <x:c r="B11" t="n">
        <x:v>3</x:v>
      </x:c>
      <x:c r="C11" t="n">
        <x:v>2</x:v>
      </x:c>
      <x:c r="D11" t="n">
        <x:v>1</x:v>
      </x:c>
      <x:c r="E11" t="n">
        <x:v>0</x:v>
      </x:c>
      <x:c r="F11" s="30" t="n">
        <x:v>0.6666666666666666</x:v>
      </x:c>
      <x:c r="G11" s="16" t="n">
        <x:v>17</x:v>
      </x:c>
      <x:c r="H11" s="16" t="n">
        <x:v>9.333333333333334</x:v>
      </x:c>
      <x:c r="I11" s="16" t="n">
        <x:v>12</x:v>
      </x:c>
      <x:c r="J11" t="n">
        <x:v>15</x:v>
      </x:c>
    </x:row>
    <x:row r="12">
      <x:c r="A12" s="12" t="n">
        <x:v>46168</x:v>
      </x:c>
      <x:c r="B12" t="n">
        <x:v>6</x:v>
      </x:c>
      <x:c r="C12" t="n">
        <x:v>3</x:v>
      </x:c>
      <x:c r="D12" t="n">
        <x:v>3</x:v>
      </x:c>
      <x:c r="E12" t="n">
        <x:v>0</x:v>
      </x:c>
      <x:c r="F12" s="30" t="n">
        <x:v>0.5</x:v>
      </x:c>
      <x:c r="G12" s="16" t="n">
        <x:v>13.5</x:v>
      </x:c>
      <x:c r="H12" s="16" t="n">
        <x:v>6.833333333333333</x:v>
      </x:c>
      <x:c r="I12" s="16" t="n">
        <x:v>7.5</x:v>
      </x:c>
      <x:c r="J12" t="n">
        <x:v>7</x:v>
      </x:c>
    </x:row>
    <x:row r="13">
      <x:c r="A13" s="12" t="n">
        <x:v>46167</x:v>
      </x:c>
      <x:c r="B13" t="n">
        <x:v>15</x:v>
      </x:c>
      <x:c r="C13" t="n">
        <x:v>9</x:v>
      </x:c>
      <x:c r="D13" t="n">
        <x:v>5</x:v>
      </x:c>
      <x:c r="E13" t="n">
        <x:v>1</x:v>
      </x:c>
      <x:c r="F13" s="30" t="n">
        <x:v>0.6</x:v>
      </x:c>
      <x:c r="G13" s="16" t="n">
        <x:v>18.4</x:v>
      </x:c>
      <x:c r="H13" s="16" t="n">
        <x:v>7.4</x:v>
      </x:c>
      <x:c r="I13" s="16" t="n">
        <x:v>11.4</x:v>
      </x:c>
      <x:c r="J13" t="n">
        <x:v>83</x:v>
      </x:c>
    </x:row>
    <x:row r="14">
      <x:c r="A14" s="12" t="n">
        <x:v>46166</x:v>
      </x:c>
      <x:c r="B14" t="n">
        <x:v>16</x:v>
      </x:c>
      <x:c r="C14" t="n">
        <x:v>8</x:v>
      </x:c>
      <x:c r="D14" t="n">
        <x:v>8</x:v>
      </x:c>
      <x:c r="E14" t="n">
        <x:v>0</x:v>
      </x:c>
      <x:c r="F14" s="30" t="n">
        <x:v>0.5</x:v>
      </x:c>
      <x:c r="G14" s="16" t="n">
        <x:v>17.75</x:v>
      </x:c>
      <x:c r="H14" s="16" t="n">
        <x:v>9.5625</x:v>
      </x:c>
      <x:c r="I14" s="16" t="n">
        <x:v>8.5625</x:v>
      </x:c>
      <x:c r="J14" t="n">
        <x:v>-9</x:v>
      </x:c>
    </x:row>
    <x:row r="15">
      <x:c r="A15" s="12" t="n">
        <x:v>46165</x:v>
      </x:c>
      <x:c r="B15" t="n">
        <x:v>31</x:v>
      </x:c>
      <x:c r="C15" t="n">
        <x:v>17</x:v>
      </x:c>
      <x:c r="D15" t="n">
        <x:v>14</x:v>
      </x:c>
      <x:c r="E15" t="n">
        <x:v>0</x:v>
      </x:c>
      <x:c r="F15" s="30" t="n">
        <x:v>0.5483870967741935</x:v>
      </x:c>
      <x:c r="G15" s="16" t="n">
        <x:v>14.96774193548387</x:v>
      </x:c>
      <x:c r="H15" s="16" t="n">
        <x:v>7.741935483870968</x:v>
      </x:c>
      <x:c r="I15" s="16" t="n">
        <x:v>9.290322580645162</x:v>
      </x:c>
      <x:c r="J15" t="n">
        <x:v>83</x:v>
      </x:c>
    </x:row>
    <x:row r="16">
      <x:c r="A16" s="12" t="n">
        <x:v>46164</x:v>
      </x:c>
      <x:c r="B16" t="n">
        <x:v>3</x:v>
      </x:c>
      <x:c r="C16" t="n">
        <x:v>1</x:v>
      </x:c>
      <x:c r="D16" t="n">
        <x:v>2</x:v>
      </x:c>
      <x:c r="E16" t="n">
        <x:v>0</x:v>
      </x:c>
      <x:c r="F16" s="30" t="n">
        <x:v>0.3333333333333333</x:v>
      </x:c>
      <x:c r="G16" s="16" t="n">
        <x:v>13.333333333333334</x:v>
      </x:c>
      <x:c r="H16" s="16" t="n">
        <x:v>8.666666666666666</x:v>
      </x:c>
      <x:c r="I16" s="16" t="n">
        <x:v>3.3333333333333335</x:v>
      </x:c>
      <x:c r="J16" t="n">
        <x:v>-17</x:v>
      </x:c>
    </x:row>
    <x:row r="17">
      <x:c r="A17" s="12" t="n">
        <x:v>46163</x:v>
      </x:c>
      <x:c r="B17" t="n">
        <x:v>4</x:v>
      </x:c>
      <x:c r="C17" t="n">
        <x:v>3</x:v>
      </x:c>
      <x:c r="D17" t="n">
        <x:v>1</x:v>
      </x:c>
      <x:c r="E17" t="n">
        <x:v>0</x:v>
      </x:c>
      <x:c r="F17" s="30" t="n">
        <x:v>0.75</x:v>
      </x:c>
      <x:c r="G17" s="16" t="n">
        <x:v>24</x:v>
      </x:c>
      <x:c r="H17" s="16" t="n">
        <x:v>12.25</x:v>
      </x:c>
      <x:c r="I17" s="16" t="n">
        <x:v>14.25</x:v>
      </x:c>
      <x:c r="J17" t="n">
        <x:v>50</x:v>
      </x:c>
    </x:row>
    <x:row r="18">
      <x:c r="A18" s="12" t="n">
        <x:v>46162</x:v>
      </x:c>
      <x:c r="B18" t="n">
        <x:v>1</x:v>
      </x:c>
      <x:c r="C18" t="n">
        <x:v>1</x:v>
      </x:c>
      <x:c r="D18" t="n">
        <x:v>0</x:v>
      </x:c>
      <x:c r="E18" t="n">
        <x:v>0</x:v>
      </x:c>
      <x:c r="F18" s="30" t="n">
        <x:v>1</x:v>
      </x:c>
      <x:c r="G18" s="16" t="n">
        <x:v>26</x:v>
      </x:c>
      <x:c r="H18" s="16" t="n">
        <x:v>11</x:v>
      </x:c>
      <x:c r="I18" s="16" t="n">
        <x:v>11</x:v>
      </x:c>
      <x:c r="J18" t="n">
        <x:v>22</x:v>
      </x:c>
    </x:row>
    <x:row r="19">
      <x:c r="A19" s="12" t="n">
        <x:v>46161</x:v>
      </x:c>
      <x:c r="B19" t="n">
        <x:v>11</x:v>
      </x:c>
      <x:c r="C19" t="n">
        <x:v>7</x:v>
      </x:c>
      <x:c r="D19" t="n">
        <x:v>4</x:v>
      </x:c>
      <x:c r="E19" t="n">
        <x:v>0</x:v>
      </x:c>
      <x:c r="F19" s="30" t="n">
        <x:v>0.6363636363636364</x:v>
      </x:c>
      <x:c r="G19" s="16" t="n">
        <x:v>21.09090909090909</x:v>
      </x:c>
      <x:c r="H19" s="16" t="n">
        <x:v>8.545454545454545</x:v>
      </x:c>
      <x:c r="I19" s="16" t="n">
        <x:v>9.818181818181818</x:v>
      </x:c>
      <x:c r="J19" t="n">
        <x:v>84</x:v>
      </x:c>
    </x:row>
    <x:row r="20">
      <x:c r="A20" s="12" t="n">
        <x:v>46160</x:v>
      </x:c>
      <x:c r="B20" t="n">
        <x:v>11</x:v>
      </x:c>
      <x:c r="C20" t="n">
        <x:v>6</x:v>
      </x:c>
      <x:c r="D20" t="n">
        <x:v>5</x:v>
      </x:c>
      <x:c r="E20" t="n">
        <x:v>0</x:v>
      </x:c>
      <x:c r="F20" s="30" t="n">
        <x:v>0.5454545454545454</x:v>
      </x:c>
      <x:c r="G20" s="16" t="n">
        <x:v>20.818181818181817</x:v>
      </x:c>
      <x:c r="H20" s="16" t="n">
        <x:v>8.181818181818182</x:v>
      </x:c>
      <x:c r="I20" s="16" t="n">
        <x:v>8.454545454545455</x:v>
      </x:c>
      <x:c r="J20" t="n">
        <x:v>47</x:v>
      </x:c>
    </x:row>
    <x:row r="21">
      <x:c r="A21" s="12" t="n">
        <x:v>46159</x:v>
      </x:c>
      <x:c r="B21" t="n">
        <x:v>5</x:v>
      </x:c>
      <x:c r="C21" t="n">
        <x:v>2</x:v>
      </x:c>
      <x:c r="D21" t="n">
        <x:v>3</x:v>
      </x:c>
      <x:c r="E21" t="n">
        <x:v>0</x:v>
      </x:c>
      <x:c r="F21" s="30" t="n">
        <x:v>0.4</x:v>
      </x:c>
      <x:c r="G21" s="16" t="n">
        <x:v>17.8</x:v>
      </x:c>
      <x:c r="H21" s="16" t="n">
        <x:v>9.8</x:v>
      </x:c>
      <x:c r="I21" s="16" t="n">
        <x:v>8.4</x:v>
      </x:c>
      <x:c r="J21" t="n">
        <x:v>-23</x:v>
      </x:c>
    </x:row>
    <x:row r="22">
      <x:c r="A22" s="12" t="n">
        <x:v>46158</x:v>
      </x:c>
      <x:c r="B22" t="n">
        <x:v>15</x:v>
      </x:c>
      <x:c r="C22" t="n">
        <x:v>7</x:v>
      </x:c>
      <x:c r="D22" t="n">
        <x:v>8</x:v>
      </x:c>
      <x:c r="E22" t="n">
        <x:v>0</x:v>
      </x:c>
      <x:c r="F22" s="30" t="n">
        <x:v>0.4666666666666667</x:v>
      </x:c>
      <x:c r="G22" s="16" t="n">
        <x:v>18.666666666666668</x:v>
      </x:c>
      <x:c r="H22" s="16" t="n">
        <x:v>9.6</x:v>
      </x:c>
      <x:c r="I22" s="16" t="n">
        <x:v>8.4</x:v>
      </x:c>
      <x:c r="J22" t="n">
        <x:v>38</x:v>
      </x:c>
    </x:row>
    <x:row r="23">
      <x:c r="A23" s="12" t="n">
        <x:v>46157</x:v>
      </x:c>
      <x:c r="B23" t="n">
        <x:v>5</x:v>
      </x:c>
      <x:c r="C23" t="n">
        <x:v>3</x:v>
      </x:c>
      <x:c r="D23" t="n">
        <x:v>2</x:v>
      </x:c>
      <x:c r="E23" t="n">
        <x:v>0</x:v>
      </x:c>
      <x:c r="F23" s="30" t="n">
        <x:v>0.6</x:v>
      </x:c>
      <x:c r="G23" s="16" t="n">
        <x:v>23.6</x:v>
      </x:c>
      <x:c r="H23" s="16" t="n">
        <x:v>6.4</x:v>
      </x:c>
      <x:c r="I23" s="16" t="n">
        <x:v>6.4</x:v>
      </x:c>
      <x:c r="J23" t="n">
        <x:v>40</x:v>
      </x:c>
    </x:row>
    <x:row r="24">
      <x:c r="A24" s="12" t="n">
        <x:v>46156</x:v>
      </x:c>
      <x:c r="B24" t="n">
        <x:v>4</x:v>
      </x:c>
      <x:c r="C24" t="n">
        <x:v>1</x:v>
      </x:c>
      <x:c r="D24" t="n">
        <x:v>3</x:v>
      </x:c>
      <x:c r="E24" t="n">
        <x:v>0</x:v>
      </x:c>
      <x:c r="F24" s="30" t="n">
        <x:v>0.25</x:v>
      </x:c>
      <x:c r="G24" s="16" t="n">
        <x:v>8.25</x:v>
      </x:c>
      <x:c r="H24" s="16" t="n">
        <x:v>6.75</x:v>
      </x:c>
      <x:c r="I24" s="16" t="n">
        <x:v>5.75</x:v>
      </x:c>
      <x:c r="J24" t="n">
        <x:v>-46</x:v>
      </x:c>
    </x:row>
    <x:row r="25">
      <x:c r="A25" s="12" t="n">
        <x:v>46155</x:v>
      </x:c>
      <x:c r="B25" t="n">
        <x:v>5</x:v>
      </x:c>
      <x:c r="C25" t="n">
        <x:v>3</x:v>
      </x:c>
      <x:c r="D25" t="n">
        <x:v>2</x:v>
      </x:c>
      <x:c r="E25" t="n">
        <x:v>0</x:v>
      </x:c>
      <x:c r="F25" s="30" t="n">
        <x:v>0.6</x:v>
      </x:c>
      <x:c r="G25" s="16" t="n">
        <x:v>20</x:v>
      </x:c>
      <x:c r="H25" s="16" t="n">
        <x:v>8.4</x:v>
      </x:c>
      <x:c r="I25" s="16" t="n">
        <x:v>9.4</x:v>
      </x:c>
      <x:c r="J25" t="n">
        <x:v>21</x:v>
      </x:c>
    </x:row>
    <x:row r="26">
      <x:c r="A26" s="12" t="n">
        <x:v>46120</x:v>
      </x:c>
      <x:c r="B26" t="n">
        <x:v>10</x:v>
      </x:c>
      <x:c r="C26" t="n">
        <x:v>6</x:v>
      </x:c>
      <x:c r="D26" t="n">
        <x:v>3</x:v>
      </x:c>
      <x:c r="E26" t="n">
        <x:v>1</x:v>
      </x:c>
      <x:c r="F26" s="30" t="n">
        <x:v>0.6</x:v>
      </x:c>
      <x:c r="G26" s="16" t="n">
        <x:v>24.5</x:v>
      </x:c>
      <x:c r="H26" s="16" t="n">
        <x:v>8.4</x:v>
      </x:c>
      <x:c r="I26" s="16" t="n">
        <x:v>9.4</x:v>
      </x:c>
      <x:c r="J26" t="n">
        <x:v>85</x:v>
      </x:c>
    </x:row>
    <x:row r="27">
      <x:c r="A27" s="12" t="n">
        <x:v>46119</x:v>
      </x:c>
      <x:c r="B27" t="n">
        <x:v>8</x:v>
      </x:c>
      <x:c r="C27" t="n">
        <x:v>4</x:v>
      </x:c>
      <x:c r="D27" t="n">
        <x:v>4</x:v>
      </x:c>
      <x:c r="E27" t="n">
        <x:v>0</x:v>
      </x:c>
      <x:c r="F27" s="30" t="n">
        <x:v>0.5</x:v>
      </x:c>
      <x:c r="G27" s="16" t="n">
        <x:v>17.25</x:v>
      </x:c>
      <x:c r="H27" s="16" t="n">
        <x:v>7.375</x:v>
      </x:c>
      <x:c r="I27" s="16" t="n">
        <x:v>8.5</x:v>
      </x:c>
      <x:c r="J27" t="n">
        <x:v>9</x:v>
      </x:c>
    </x:row>
    <x:row r="28">
      <x:c r="A28" s="12" t="n">
        <x:v>46117</x:v>
      </x:c>
      <x:c r="B28" t="n">
        <x:v>8</x:v>
      </x:c>
      <x:c r="C28" t="n">
        <x:v>3</x:v>
      </x:c>
      <x:c r="D28" t="n">
        <x:v>5</x:v>
      </x:c>
      <x:c r="E28" t="n">
        <x:v>0</x:v>
      </x:c>
      <x:c r="F28" s="30" t="n">
        <x:v>0.375</x:v>
      </x:c>
      <x:c r="G28" s="16" t="n">
        <x:v>28.375</x:v>
      </x:c>
      <x:c r="H28" s="16" t="n">
        <x:v>14</x:v>
      </x:c>
      <x:c r="I28" s="16" t="n">
        <x:v>10.875</x:v>
      </x:c>
      <x:c r="J28" t="n">
        <x:v>-17</x:v>
      </x:c>
    </x:row>
    <x:row r="29">
      <x:c r="A29" s="12" t="n">
        <x:v>46116</x:v>
      </x:c>
      <x:c r="B29" t="n">
        <x:v>12</x:v>
      </x:c>
      <x:c r="C29" t="n">
        <x:v>6</x:v>
      </x:c>
      <x:c r="D29" t="n">
        <x:v>5</x:v>
      </x:c>
      <x:c r="E29" t="n">
        <x:v>1</x:v>
      </x:c>
      <x:c r="F29" s="30" t="n">
        <x:v>0.5</x:v>
      </x:c>
      <x:c r="G29" s="16" t="n">
        <x:v>17.5</x:v>
      </x:c>
      <x:c r="H29" s="16" t="n">
        <x:v>8</x:v>
      </x:c>
      <x:c r="I29" s="16" t="n">
        <x:v>12.583333333333334</x:v>
      </x:c>
      <x:c r="J29" t="n">
        <x:v>48</x:v>
      </x:c>
    </x:row>
    <x:row r="30">
      <x:c r="A30" s="12" t="n">
        <x:v>46115</x:v>
      </x:c>
      <x:c r="B30" t="n">
        <x:v>7</x:v>
      </x:c>
      <x:c r="C30" t="n">
        <x:v>3</x:v>
      </x:c>
      <x:c r="D30" t="n">
        <x:v>4</x:v>
      </x:c>
      <x:c r="E30" t="n">
        <x:v>0</x:v>
      </x:c>
      <x:c r="F30" s="30" t="n">
        <x:v>0.42857142857142855</x:v>
      </x:c>
      <x:c r="G30" s="16" t="n">
        <x:v>28.285714285714285</x:v>
      </x:c>
      <x:c r="H30" s="16" t="n">
        <x:v>10.857142857142858</x:v>
      </x:c>
      <x:c r="I30" s="16" t="n">
        <x:v>14.714285714285714</x:v>
      </x:c>
      <x:c r="J30" t="n">
        <x:v>-6</x:v>
      </x:c>
    </x:row>
    <x:row r="31">
      <x:c r="A31" s="12" t="n">
        <x:v>46114</x:v>
      </x:c>
      <x:c r="B31" t="n">
        <x:v>3</x:v>
      </x:c>
      <x:c r="C31" t="n">
        <x:v>1</x:v>
      </x:c>
      <x:c r="D31" t="n">
        <x:v>2</x:v>
      </x:c>
      <x:c r="E31" t="n">
        <x:v>0</x:v>
      </x:c>
      <x:c r="F31" s="30" t="n">
        <x:v>0.3333333333333333</x:v>
      </x:c>
      <x:c r="G31" s="16" t="n">
        <x:v>20</x:v>
      </x:c>
      <x:c r="H31" s="16" t="n">
        <x:v>10.333333333333334</x:v>
      </x:c>
      <x:c r="I31" s="16" t="n">
        <x:v>10.333333333333334</x:v>
      </x:c>
      <x:c r="J31" t="n">
        <x:v>-20</x:v>
      </x:c>
    </x:row>
    <x:row r="32">
      <x:c r="A32" s="12" t="n">
        <x:v>46112</x:v>
      </x:c>
      <x:c r="B32" t="n">
        <x:v>10</x:v>
      </x:c>
      <x:c r="C32" t="n">
        <x:v>5</x:v>
      </x:c>
      <x:c r="D32" t="n">
        <x:v>5</x:v>
      </x:c>
      <x:c r="E32" t="n">
        <x:v>0</x:v>
      </x:c>
      <x:c r="F32" s="30" t="n">
        <x:v>0.5</x:v>
      </x:c>
      <x:c r="G32" s="16" t="n">
        <x:v>21.6</x:v>
      </x:c>
      <x:c r="H32" s="16" t="n">
        <x:v>8.3</x:v>
      </x:c>
      <x:c r="I32" s="16" t="n">
        <x:v>12.1</x:v>
      </x:c>
      <x:c r="J32" t="n">
        <x:v>18</x:v>
      </x:c>
    </x:row>
    <x:row r="33">
      <x:c r="A33" s="12" t="n">
        <x:v>46111</x:v>
      </x:c>
      <x:c r="B33" t="n">
        <x:v>15</x:v>
      </x:c>
      <x:c r="C33" t="n">
        <x:v>9</x:v>
      </x:c>
      <x:c r="D33" t="n">
        <x:v>6</x:v>
      </x:c>
      <x:c r="E33" t="n">
        <x:v>0</x:v>
      </x:c>
      <x:c r="F33" s="30" t="n">
        <x:v>0.6</x:v>
      </x:c>
      <x:c r="G33" s="16" t="n">
        <x:v>18.866666666666667</x:v>
      </x:c>
      <x:c r="H33" s="16" t="n">
        <x:v>7.066666666666666</x:v>
      </x:c>
      <x:c r="I33" s="16" t="n">
        <x:v>11.266666666666667</x:v>
      </x:c>
      <x:c r="J33" t="n">
        <x:v>86</x:v>
      </x:c>
    </x:row>
    <x:row r="34">
      <x:c r="A34" s="12" t="n">
        <x:v>46110</x:v>
      </x:c>
      <x:c r="B34" t="n">
        <x:v>12</x:v>
      </x:c>
      <x:c r="C34" t="n">
        <x:v>5</x:v>
      </x:c>
      <x:c r="D34" t="n">
        <x:v>7</x:v>
      </x:c>
      <x:c r="E34" t="n">
        <x:v>0</x:v>
      </x:c>
      <x:c r="F34" s="30" t="n">
        <x:v>0.4166666666666667</x:v>
      </x:c>
      <x:c r="G34" s="16" t="n">
        <x:v>20.5</x:v>
      </x:c>
      <x:c r="H34" s="16" t="n">
        <x:v>9.75</x:v>
      </x:c>
      <x:c r="I34" s="16" t="n">
        <x:v>10.166666666666666</x:v>
      </x:c>
      <x:c r="J34" t="n">
        <x:v>-19</x:v>
      </x:c>
    </x:row>
    <x:row r="35">
      <x:c r="A35" s="12" t="n">
        <x:v>46109</x:v>
      </x:c>
      <x:c r="B35" t="n">
        <x:v>3</x:v>
      </x:c>
      <x:c r="C35" t="n">
        <x:v>2</x:v>
      </x:c>
      <x:c r="D35" t="n">
        <x:v>1</x:v>
      </x:c>
      <x:c r="E35" t="n">
        <x:v>0</x:v>
      </x:c>
      <x:c r="F35" s="30" t="n">
        <x:v>0.6666666666666666</x:v>
      </x:c>
      <x:c r="G35" s="16" t="n">
        <x:v>20.666666666666668</x:v>
      </x:c>
      <x:c r="H35" s="16" t="n">
        <x:v>8.333333333333334</x:v>
      </x:c>
      <x:c r="I35" s="16" t="n">
        <x:v>15.666666666666666</x:v>
      </x:c>
      <x:c r="J35" t="n">
        <x:v>28</x:v>
      </x:c>
    </x:row>
    <x:row r="36">
      <x:c r="A36" s="12" t="n">
        <x:v>46108</x:v>
      </x:c>
      <x:c r="B36" t="n">
        <x:v>21</x:v>
      </x:c>
      <x:c r="C36" t="n">
        <x:v>8</x:v>
      </x:c>
      <x:c r="D36" t="n">
        <x:v>13</x:v>
      </x:c>
      <x:c r="E36" t="n">
        <x:v>0</x:v>
      </x:c>
      <x:c r="F36" s="30" t="n">
        <x:v>0.38095238095238093</x:v>
      </x:c>
      <x:c r="G36" s="16" t="n">
        <x:v>18.19047619047619</x:v>
      </x:c>
      <x:c r="H36" s="16" t="n">
        <x:v>9.952380952380953</x:v>
      </x:c>
      <x:c r="I36" s="16" t="n">
        <x:v>11.095238095238095</x:v>
      </x:c>
      <x:c r="J36" t="n">
        <x:v>-72</x:v>
      </x:c>
    </x:row>
    <x:row r="37">
      <x:c r="A37" s="12" t="n">
        <x:v>46107</x:v>
      </x:c>
      <x:c r="B37" t="n">
        <x:v>8</x:v>
      </x:c>
      <x:c r="C37" t="n">
        <x:v>2</x:v>
      </x:c>
      <x:c r="D37" t="n">
        <x:v>5</x:v>
      </x:c>
      <x:c r="E37" t="n">
        <x:v>1</x:v>
      </x:c>
      <x:c r="F37" s="30" t="n">
        <x:v>0.25</x:v>
      </x:c>
      <x:c r="G37" s="16" t="n">
        <x:v>15</x:v>
      </x:c>
      <x:c r="H37" s="16" t="n">
        <x:v>8</x:v>
      </x:c>
      <x:c r="I37" s="16" t="n">
        <x:v>11.125</x:v>
      </x:c>
      <x:c r="J37" t="n">
        <x:v>-46</x:v>
      </x:c>
    </x:row>
    <x:row r="38">
      <x:c r="A38" s="12" t="n">
        <x:v>46106</x:v>
      </x:c>
      <x:c r="B38" t="n">
        <x:v>5</x:v>
      </x:c>
      <x:c r="C38" t="n">
        <x:v>3</x:v>
      </x:c>
      <x:c r="D38" t="n">
        <x:v>2</x:v>
      </x:c>
      <x:c r="E38" t="n">
        <x:v>0</x:v>
      </x:c>
      <x:c r="F38" s="30" t="n">
        <x:v>0.6</x:v>
      </x:c>
      <x:c r="G38" s="16" t="n">
        <x:v>20.6</x:v>
      </x:c>
      <x:c r="H38" s="16" t="n">
        <x:v>6.6</x:v>
      </x:c>
      <x:c r="I38" s="16" t="n">
        <x:v>11.2</x:v>
      </x:c>
      <x:c r="J38" t="n">
        <x:v>32</x:v>
      </x:c>
    </x:row>
    <x:row r="39">
      <x:c r="A39" s="12" t="n">
        <x:v>46103</x:v>
      </x:c>
      <x:c r="B39" t="n">
        <x:v>8</x:v>
      </x:c>
      <x:c r="C39" t="n">
        <x:v>5</x:v>
      </x:c>
      <x:c r="D39" t="n">
        <x:v>3</x:v>
      </x:c>
      <x:c r="E39" t="n">
        <x:v>0</x:v>
      </x:c>
      <x:c r="F39" s="30" t="n">
        <x:v>0.625</x:v>
      </x:c>
      <x:c r="G39" s="16" t="n">
        <x:v>17.75</x:v>
      </x:c>
      <x:c r="H39" s="16" t="n">
        <x:v>8</x:v>
      </x:c>
      <x:c r="I39" s="16" t="n">
        <x:v>8.25</x:v>
      </x:c>
      <x:c r="J39" t="n">
        <x:v>58</x:v>
      </x:c>
    </x:row>
    <x:row r="40">
      <x:c r="A40" s="12" t="n">
        <x:v>46102</x:v>
      </x:c>
      <x:c r="B40" t="n">
        <x:v>5</x:v>
      </x:c>
      <x:c r="C40" t="n">
        <x:v>3</x:v>
      </x:c>
      <x:c r="D40" t="n">
        <x:v>2</x:v>
      </x:c>
      <x:c r="E40" t="n">
        <x:v>0</x:v>
      </x:c>
      <x:c r="F40" s="30" t="n">
        <x:v>0.6</x:v>
      </x:c>
      <x:c r="G40" s="16" t="n">
        <x:v>17.4</x:v>
      </x:c>
      <x:c r="H40" s="16" t="n">
        <x:v>9.4</x:v>
      </x:c>
      <x:c r="I40" s="16" t="n">
        <x:v>8.4</x:v>
      </x:c>
      <x:c r="J40" t="n">
        <x:v>54</x:v>
      </x:c>
    </x:row>
    <x:row r="41">
      <x:c r="A41" s="12" t="n">
        <x:v>46101</x:v>
      </x:c>
      <x:c r="B41" t="n">
        <x:v>9</x:v>
      </x:c>
      <x:c r="C41" t="n">
        <x:v>5</x:v>
      </x:c>
      <x:c r="D41" t="n">
        <x:v>4</x:v>
      </x:c>
      <x:c r="E41" t="n">
        <x:v>0</x:v>
      </x:c>
      <x:c r="F41" s="30" t="n">
        <x:v>0.5555555555555556</x:v>
      </x:c>
      <x:c r="G41" s="16" t="n">
        <x:v>21.11111111111111</x:v>
      </x:c>
      <x:c r="H41" s="16" t="n">
        <x:v>10.444444444444445</x:v>
      </x:c>
      <x:c r="I41" s="16" t="n">
        <x:v>9</x:v>
      </x:c>
      <x:c r="J41" t="n">
        <x:v>40</x:v>
      </x:c>
    </x:row>
    <x:row r="42">
      <x:c r="A42" s="12" t="n">
        <x:v>46097</x:v>
      </x:c>
      <x:c r="B42" t="n">
        <x:v>6</x:v>
      </x:c>
      <x:c r="C42" t="n">
        <x:v>3</x:v>
      </x:c>
      <x:c r="D42" t="n">
        <x:v>3</x:v>
      </x:c>
      <x:c r="E42" t="n">
        <x:v>0</x:v>
      </x:c>
      <x:c r="F42" s="30" t="n">
        <x:v>0.5</x:v>
      </x:c>
      <x:c r="G42" s="16" t="n">
        <x:v>18</x:v>
      </x:c>
      <x:c r="H42" s="16" t="n">
        <x:v>8</x:v>
      </x:c>
      <x:c r="I42" s="16" t="n">
        <x:v>8</x:v>
      </x:c>
      <x:c r="J42" t="n">
        <x:v>18</x:v>
      </x:c>
    </x:row>
    <x:row r="43">
      <x:c r="A43" s="12" t="n">
        <x:v>46094</x:v>
      </x:c>
      <x:c r="B43" t="n">
        <x:v>2</x:v>
      </x:c>
      <x:c r="C43" t="n">
        <x:v>0</x:v>
      </x:c>
      <x:c r="D43" t="n">
        <x:v>2</x:v>
      </x:c>
      <x:c r="E43" t="n">
        <x:v>0</x:v>
      </x:c>
      <x:c r="F43" s="30" t="n">
        <x:v>0</x:v>
      </x:c>
      <x:c r="G43" s="16" t="n">
        <x:v>31</x:v>
      </x:c>
      <x:c r="H43" s="16" t="n">
        <x:v>12</x:v>
      </x:c>
      <x:c r="I43" s="16" t="n">
        <x:v>9.5</x:v>
      </x:c>
      <x:c r="J43" t="n">
        <x:v>-41</x:v>
      </x:c>
    </x:row>
    <x:row r="44">
      <x:c r="A44" s="12" t="n">
        <x:v>46088</x:v>
      </x:c>
      <x:c r="B44" t="n">
        <x:v>2</x:v>
      </x:c>
      <x:c r="C44" t="n">
        <x:v>0</x:v>
      </x:c>
      <x:c r="D44" t="n">
        <x:v>2</x:v>
      </x:c>
      <x:c r="E44" t="n">
        <x:v>0</x:v>
      </x:c>
      <x:c r="F44" s="30" t="n">
        <x:v>0</x:v>
      </x:c>
      <x:c r="G44" s="16" t="n">
        <x:v>32</x:v>
      </x:c>
      <x:c r="H44" s="16" t="n">
        <x:v>11.5</x:v>
      </x:c>
      <x:c r="I44" s="16" t="n">
        <x:v>4</x:v>
      </x:c>
      <x:c r="J44" t="n">
        <x:v>-35</x:v>
      </x:c>
    </x:row>
    <x:row r="45">
      <x:c r="A45" s="12" t="n">
        <x:v>46087</x:v>
      </x:c>
      <x:c r="B45" t="n">
        <x:v>16</x:v>
      </x:c>
      <x:c r="C45" t="n">
        <x:v>6</x:v>
      </x:c>
      <x:c r="D45" t="n">
        <x:v>10</x:v>
      </x:c>
      <x:c r="E45" t="n">
        <x:v>0</x:v>
      </x:c>
      <x:c r="F45" s="30" t="n">
        <x:v>0.375</x:v>
      </x:c>
      <x:c r="G45" s="16" t="n">
        <x:v>15.6875</x:v>
      </x:c>
      <x:c r="H45" s="16" t="n">
        <x:v>7.8125</x:v>
      </x:c>
      <x:c r="I45" s="16" t="n">
        <x:v>9.4375</x:v>
      </x:c>
      <x:c r="J45" t="n">
        <x:v>-67</x:v>
      </x:c>
    </x:row>
    <x:row r="46">
      <x:c r="A46" s="12" t="n">
        <x:v>46086</x:v>
      </x:c>
      <x:c r="B46" t="n">
        <x:v>4</x:v>
      </x:c>
      <x:c r="C46" t="n">
        <x:v>2</x:v>
      </x:c>
      <x:c r="D46" t="n">
        <x:v>2</x:v>
      </x:c>
      <x:c r="E46" t="n">
        <x:v>0</x:v>
      </x:c>
      <x:c r="F46" s="30" t="n">
        <x:v>0.5</x:v>
      </x:c>
      <x:c r="G46" s="16" t="n">
        <x:v>12.5</x:v>
      </x:c>
      <x:c r="H46" s="16" t="n">
        <x:v>7.75</x:v>
      </x:c>
      <x:c r="I46" s="16" t="n">
        <x:v>17</x:v>
      </x:c>
      <x:c r="J46" t="n">
        <x:v>-3</x:v>
      </x:c>
    </x:row>
    <x:row r="47">
      <x:c r="A47" s="12" t="n">
        <x:v>46085</x:v>
      </x:c>
      <x:c r="B47" t="n">
        <x:v>8</x:v>
      </x:c>
      <x:c r="C47" t="n">
        <x:v>4</x:v>
      </x:c>
      <x:c r="D47" t="n">
        <x:v>4</x:v>
      </x:c>
      <x:c r="E47" t="n">
        <x:v>0</x:v>
      </x:c>
      <x:c r="F47" s="30" t="n">
        <x:v>0.5</x:v>
      </x:c>
      <x:c r="G47" s="16" t="n">
        <x:v>17.875</x:v>
      </x:c>
      <x:c r="H47" s="16" t="n">
        <x:v>8</x:v>
      </x:c>
      <x:c r="I47" s="16" t="n">
        <x:v>10.75</x:v>
      </x:c>
      <x:c r="J47" t="n">
        <x:v>5</x:v>
      </x:c>
    </x:row>
    <x:row r="48">
      <x:c r="A48" s="12" t="n">
        <x:v>46084</x:v>
      </x:c>
      <x:c r="B48" t="n">
        <x:v>11</x:v>
      </x:c>
      <x:c r="C48" t="n">
        <x:v>7</x:v>
      </x:c>
      <x:c r="D48" t="n">
        <x:v>4</x:v>
      </x:c>
      <x:c r="E48" t="n">
        <x:v>0</x:v>
      </x:c>
      <x:c r="F48" s="30" t="n">
        <x:v>0.6363636363636364</x:v>
      </x:c>
      <x:c r="G48" s="16" t="n">
        <x:v>23.363636363636363</x:v>
      </x:c>
      <x:c r="H48" s="16" t="n">
        <x:v>10</x:v>
      </x:c>
      <x:c r="I48" s="16" t="n">
        <x:v>8.727272727272727</x:v>
      </x:c>
      <x:c r="J48" t="n">
        <x:v>71</x:v>
      </x:c>
    </x:row>
    <x:row r="49">
      <x:c r="A49" s="12" t="n">
        <x:v>46083</x:v>
      </x:c>
      <x:c r="B49" t="n">
        <x:v>4</x:v>
      </x:c>
      <x:c r="C49" t="n">
        <x:v>0</x:v>
      </x:c>
      <x:c r="D49" t="n">
        <x:v>4</x:v>
      </x:c>
      <x:c r="E49" t="n">
        <x:v>0</x:v>
      </x:c>
      <x:c r="F49" s="30" t="n">
        <x:v>0</x:v>
      </x:c>
      <x:c r="G49" s="16" t="n">
        <x:v>17.75</x:v>
      </x:c>
      <x:c r="H49" s="16" t="n">
        <x:v>11.25</x:v>
      </x:c>
      <x:c r="I49" s="16" t="n">
        <x:v>7</x:v>
      </x:c>
      <x:c r="J49" t="n">
        <x:v>-85</x:v>
      </x:c>
    </x:row>
    <x:row r="50">
      <x:c r="A50" s="12" t="n">
        <x:v>46078</x:v>
      </x:c>
      <x:c r="B50" t="n">
        <x:v>7</x:v>
      </x:c>
      <x:c r="C50" t="n">
        <x:v>5</x:v>
      </x:c>
      <x:c r="D50" t="n">
        <x:v>2</x:v>
      </x:c>
      <x:c r="E50" t="n">
        <x:v>0</x:v>
      </x:c>
      <x:c r="F50" s="30" t="n">
        <x:v>0.7142857142857143</x:v>
      </x:c>
      <x:c r="G50" s="16" t="n">
        <x:v>23.714285714285715</x:v>
      </x:c>
      <x:c r="H50" s="16" t="n">
        <x:v>7.714285714285714</x:v>
      </x:c>
      <x:c r="I50" s="16" t="n">
        <x:v>12.571428571428571</x:v>
      </x:c>
      <x:c r="J50" t="n">
        <x:v>66</x:v>
      </x:c>
    </x:row>
    <x:row r="51">
      <x:c r="A51" s="12" t="n">
        <x:v>46076</x:v>
      </x:c>
      <x:c r="B51" t="n">
        <x:v>11</x:v>
      </x:c>
      <x:c r="C51" t="n">
        <x:v>7</x:v>
      </x:c>
      <x:c r="D51" t="n">
        <x:v>4</x:v>
      </x:c>
      <x:c r="E51" t="n">
        <x:v>0</x:v>
      </x:c>
      <x:c r="F51" s="30" t="n">
        <x:v>0.6363636363636364</x:v>
      </x:c>
      <x:c r="G51" s="16" t="n">
        <x:v>25</x:v>
      </x:c>
      <x:c r="H51" s="16" t="n">
        <x:v>9.090909090909092</x:v>
      </x:c>
      <x:c r="I51" s="16" t="n">
        <x:v>11.454545454545455</x:v>
      </x:c>
      <x:c r="J51" t="n">
        <x:v>72</x:v>
      </x:c>
    </x:row>
    <x:row r="52">
      <x:c r="A52" s="12" t="n">
        <x:v>46075</x:v>
      </x:c>
      <x:c r="B52" t="n">
        <x:v>8</x:v>
      </x:c>
      <x:c r="C52" t="n">
        <x:v>4</x:v>
      </x:c>
      <x:c r="D52" t="n">
        <x:v>4</x:v>
      </x:c>
      <x:c r="E52" t="n">
        <x:v>0</x:v>
      </x:c>
      <x:c r="F52" s="30" t="n">
        <x:v>0.5</x:v>
      </x:c>
      <x:c r="G52" s="16" t="n">
        <x:v>20.625</x:v>
      </x:c>
      <x:c r="H52" s="16" t="n">
        <x:v>9.875</x:v>
      </x:c>
      <x:c r="I52" s="16" t="n">
        <x:v>11</x:v>
      </x:c>
      <x:c r="J52" t="n">
        <x:v>-7</x:v>
      </x:c>
    </x:row>
    <x:row r="53">
      <x:c r="A53" s="12" t="n">
        <x:v>46073</x:v>
      </x:c>
      <x:c r="B53" t="n">
        <x:v>5</x:v>
      </x:c>
      <x:c r="C53" t="n">
        <x:v>1</x:v>
      </x:c>
      <x:c r="D53" t="n">
        <x:v>4</x:v>
      </x:c>
      <x:c r="E53" t="n">
        <x:v>0</x:v>
      </x:c>
      <x:c r="F53" s="30" t="n">
        <x:v>0.2</x:v>
      </x:c>
      <x:c r="G53" s="16" t="n">
        <x:v>15.4</x:v>
      </x:c>
      <x:c r="H53" s="16" t="n">
        <x:v>11.8</x:v>
      </x:c>
      <x:c r="I53" s="16" t="n">
        <x:v>4.2</x:v>
      </x:c>
      <x:c r="J53" t="n">
        <x:v>-63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41a1e7435ba4d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80" hidden="0" customWidth="1"/>
  </x:cols>
  <x:sheetData>
    <x:row r="1">
      <x:c r="A1" s="52" t="str">
        <x:v>Field</x:v>
      </x:c>
      <x:c r="B1" s="54" t="str">
        <x:v>Meaning</x:v>
      </x:c>
    </x:row>
    <x:row r="2">
      <x:c r="A2" t="str">
        <x:v>Match_ID</x:v>
      </x:c>
      <x:c r="B2" t="str">
        <x:v>Sequential ID assigned in descending order from the saved tracker page.</x:v>
      </x:c>
    </x:row>
    <x:row r="3">
      <x:c r="A3" t="str">
        <x:v>Match_Date</x:v>
      </x:c>
      <x:c r="B3" t="str">
        <x:v>Calendar date inferred from the tracker group header and the saved-file date.</x:v>
      </x:c>
    </x:row>
    <x:row r="4">
      <x:c r="A4" t="str">
        <x:v>Game_Type</x:v>
      </x:c>
      <x:c r="B4" t="str">
        <x:v>Tracker's match objective type, such as Convoy, Convergence, or Domination.</x:v>
      </x:c>
    </x:row>
    <x:row r="5">
      <x:c r="A5" t="str">
        <x:v>Map</x:v>
      </x:c>
      <x:c r="B5" t="str">
        <x:v>Map/stage name shown under game type in the saved HTML when available.</x:v>
      </x:c>
    </x:row>
    <x:row r="6">
      <x:c r="A6" t="str">
        <x:v>Hero</x:v>
      </x:c>
      <x:c r="B6" t="str">
        <x:v>Character/hero alt text from the match row image.</x:v>
      </x:c>
    </x:row>
    <x:row r="7">
      <x:c r="A7" t="str">
        <x:v>Result</x:v>
      </x:c>
      <x:c r="B7" t="str">
        <x:v>Win/Loss/Draw/Unknown from the match row CSS outcome class, not raw score orientation.</x:v>
      </x:c>
    </x:row>
    <x:row r="8">
      <x:c r="A8" t="str">
        <x:v>Award</x:v>
      </x:c>
      <x:c r="B8" t="str">
        <x:v>MVP/SVP tag where present.</x:v>
      </x:c>
    </x:row>
    <x:row r="9">
      <x:c r="A9" t="str">
        <x:v>Score_For / Score_Against</x:v>
      </x:c>
      <x:c r="B9" t="str">
        <x:v>Round/objective score displayed by the tracker.</x:v>
      </x:c>
    </x:row>
    <x:row r="10">
      <x:c r="A10" t="str">
        <x:v>Rating_Score / Rank_Delta</x:v>
      </x:c>
      <x:c r="B10" t="str">
        <x:v>Displayed ranked rating score and change after the match.</x:v>
      </x:c>
    </x:row>
    <x:row r="11">
      <x:c r="A11" t="str">
        <x:v>KDA_Reported</x:v>
      </x:c>
      <x:c r="B11" t="str">
        <x:v>KDA shown by tracker.</x:v>
      </x:c>
    </x:row>
    <x:row r="12">
      <x:c r="A12" t="str">
        <x:v>KDA_Calc</x:v>
      </x:c>
      <x:c r="B12" t="str">
        <x:v>Excel formula: (Kills + Assists)/Deaths, with deaths=0 handled as Kills+Assists.</x:v>
      </x:c>
    </x:row>
    <x:row r="13">
      <x:c r="A13" t="str">
        <x:v>Win_Flag</x:v>
      </x:c>
      <x:c r="B13" t="str">
        <x:v>1 for wins, 0 otherwise; useful as a prediction target.</x:v>
      </x:c>
    </x:row>
    <x:row r="14">
      <x:c r="A14" t="str">
        <x:v>Source_Note</x:v>
      </x:c>
      <x:c r="B14" t="str">
        <x:v>Reminder of parsing source and competitive-only filter.</x:v>
      </x:c>
    </x:row>
  </x:sheetData>
  <x:pageMargins left="0.7" right="0.7" top="0.75" bottom="0.75" header="0.3" footer="0.3"/>
</x:worksheet>
</file>